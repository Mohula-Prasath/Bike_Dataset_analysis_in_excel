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ohula prasath\Downloads\"/>
    </mc:Choice>
  </mc:AlternateContent>
  <xr:revisionPtr revIDLastSave="0" documentId="13_ncr:1_{75D8D5E8-E102-407E-A3AB-A7882483A93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_sheet" sheetId="4" r:id="rId2"/>
    <sheet name="Pivot_Analysis" sheetId="3" r:id="rId3"/>
    <sheet name="Dashboard" sheetId="2"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<sst xmlns="http://schemas.openxmlformats.org/spreadsheetml/2006/main" count="16268" uniqueCount="52">
  <si>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</si>
  <si>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</si>
  <si>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</si>
  <si>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</si>
  <si>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</si>
  <si>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</si>
  <si>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</si>
  <si>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</si>
  <si>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</si>
  <si>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</si>
  <si>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</si>
  <si>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</si>
  <si>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</si>
  <si>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</si>
  <si>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</si>
  <si>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</si>
  <si>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</si>
  <si>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</si>
  <si>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</si>
  <si>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</si>
  <si>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</si>
  <si>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</si>
  <si>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</si>
  <si>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</si>
  <si>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</si>
  <si>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</si>
  <si>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</si>
  <si>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</si>
  <si>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</si>
  <si>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</si>
  <si>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</si>
  <si>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</si>
  <si>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</si>
  <si>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</si>
  <si>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</si>
  <si>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</si>
  <si>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</si>
  <si>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</si>
  <si>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</si>
  <si>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</si>
  <si>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Age_Brackets</t>
  </si>
  <si>
    <t>Row Labels</t>
  </si>
  <si>
    <t>Grand Total</t>
  </si>
  <si>
    <t>Column Labels</t>
  </si>
  <si>
    <t>Average of Income</t>
  </si>
  <si>
    <t>Count of Purchased Bike</t>
  </si>
  <si>
    <t>More than 10 Miles</t>
  </si>
  <si>
    <t>Adult</t>
  </si>
  <si>
    <t>Middle Age</t>
  </si>
  <si>
    <t>Senior</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</si>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</sst>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based on purchase of bikes</a:t>
            </a:r>
          </a:p>
          <a:p>
            <a:pPr>
              <a:defRPr/>
            </a:pPr>
            <a:r>
              <a:rPr lang="en-IN" baseline="0"/>
              <a:t>and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Pivot_Analysis!$B$3:$B$4</c:f>
              <c:strCache>
                <c:ptCount val="1"/>
                <c:pt idx="0">
                  <c:v>No</c:v>
                </c:pt>
              </c:strCache>
            </c:strRef>
          </c:tx>
          <c:spPr>
            <a:solidFill>
              <a:schemeClr val="accent1"/>
            </a:solidFill>
            <a:ln>
              <a:noFill/>
            </a:ln>
            <a:effectLst/>
            <a:sp3d/>
          </c:spPr>
          <c:invertIfNegative val="0"/>
          <c:cat>
            <c:strRef>
              <c:f>Pivot_Analysis!$A$5:$A$7</c:f>
              <c:strCache>
                <c:ptCount val="2"/>
                <c:pt idx="0">
                  <c:v>Female</c:v>
                </c:pt>
                <c:pt idx="1">
                  <c:v>Male</c:v>
                </c:pt>
              </c:strCache>
            </c:strRef>
          </c:cat>
          <c:val>
            <c:numRef>
              <c:f>Pivot_Analysis!$B$5:$B$7</c:f>
              <c:numCache>
                <c:formatCode>"₹"\ #,##0</c:formatCode>
                <c:ptCount val="2"/>
                <c:pt idx="0">
                  <c:v>53440</c:v>
                </c:pt>
                <c:pt idx="1">
                  <c:v>56208.178438661707</c:v>
                </c:pt>
              </c:numCache>
            </c:numRef>
          </c:val>
          <c:extLst>
            <c:ext xmlns:c16="http://schemas.microsoft.com/office/drawing/2014/chart" uri="{C3380CC4-5D6E-409C-BE32-E72D297353CC}">
              <c16:uniqueId val="{00000000-F66D-4517-95A2-6AD36BF1F92E}"/>
            </c:ext>
          </c:extLst>
        </c:ser>
        <c:ser>
          <c:idx val="1"/>
          <c:order val="1"/>
          <c:tx>
            <c:strRef>
              <c:f>Pivot_Analysis!$C$3:$C$4</c:f>
              <c:strCache>
                <c:ptCount val="1"/>
                <c:pt idx="0">
                  <c:v>Yes</c:v>
                </c:pt>
              </c:strCache>
            </c:strRef>
          </c:tx>
          <c:spPr>
            <a:solidFill>
              <a:schemeClr val="accent2"/>
            </a:solidFill>
            <a:ln>
              <a:noFill/>
            </a:ln>
            <a:effectLst/>
            <a:sp3d/>
          </c:spPr>
          <c:invertIfNegative val="0"/>
          <c:cat>
            <c:strRef>
              <c:f>Pivot_Analysis!$A$5:$A$7</c:f>
              <c:strCache>
                <c:ptCount val="2"/>
                <c:pt idx="0">
                  <c:v>Female</c:v>
                </c:pt>
                <c:pt idx="1">
                  <c:v>Male</c:v>
                </c:pt>
              </c:strCache>
            </c:strRef>
          </c:cat>
          <c:val>
            <c:numRef>
              <c:f>Pivot_Analysis!$C$5:$C$7</c:f>
              <c:numCache>
                <c:formatCode>"₹"\ #,##0</c:formatCode>
                <c:ptCount val="2"/>
                <c:pt idx="0">
                  <c:v>55774.058577405856</c:v>
                </c:pt>
                <c:pt idx="1">
                  <c:v>60123.966942148763</c:v>
                </c:pt>
              </c:numCache>
            </c:numRef>
          </c:val>
          <c:extLst>
            <c:ext xmlns:c16="http://schemas.microsoft.com/office/drawing/2014/chart" uri="{C3380CC4-5D6E-409C-BE32-E72D297353CC}">
              <c16:uniqueId val="{00000001-F66D-4517-95A2-6AD36BF1F92E}"/>
            </c:ext>
          </c:extLst>
        </c:ser>
        <c:dLbls>
          <c:showLegendKey val="0"/>
          <c:showVal val="0"/>
          <c:showCatName val="0"/>
          <c:showSerName val="0"/>
          <c:showPercent val="0"/>
          <c:showBubbleSize val="0"/>
        </c:dLbls>
        <c:gapWidth val="150"/>
        <c:shape val="box"/>
        <c:axId val="672583408"/>
        <c:axId val="672588688"/>
        <c:axId val="0"/>
      </c:bar3DChart>
      <c:catAx>
        <c:axId val="672583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88688"/>
        <c:crosses val="autoZero"/>
        <c:auto val="1"/>
        <c:lblAlgn val="ctr"/>
        <c:lblOffset val="100"/>
        <c:noMultiLvlLbl val="0"/>
      </c:catAx>
      <c:valAx>
        <c:axId val="672588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Income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83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Pivot_Analysis!$A$22:$A$27</c:f>
              <c:strCache>
                <c:ptCount val="5"/>
                <c:pt idx="0">
                  <c:v>0-1 Miles</c:v>
                </c:pt>
                <c:pt idx="1">
                  <c:v>1-2 Miles</c:v>
                </c:pt>
                <c:pt idx="2">
                  <c:v>2-5 Miles</c:v>
                </c:pt>
                <c:pt idx="3">
                  <c:v>5-10 Miles</c:v>
                </c:pt>
                <c:pt idx="4">
                  <c:v>More than 10 Miles</c:v>
                </c:pt>
              </c:strCache>
            </c:strRef>
          </c:cat>
          <c:val>
            <c:numRef>
              <c:f>Pivot_Analysis!$B$22:$B$27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F20-48E2-A6B3-95D14ADC0C61}"/>
            </c:ext>
          </c:extLst>
        </c:ser>
        <c:ser>
          <c:idx val="1"/>
          <c:order val="1"/>
          <c:tx>
            <c:strRef>
              <c:f>Pivot_Analysis!$C$20:$C$21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Pivot_Analysis!$A$22:$A$27</c:f>
              <c:strCache>
                <c:ptCount val="5"/>
                <c:pt idx="0">
                  <c:v>0-1 Miles</c:v>
                </c:pt>
                <c:pt idx="1">
                  <c:v>1-2 Miles</c:v>
                </c:pt>
                <c:pt idx="2">
                  <c:v>2-5 Miles</c:v>
                </c:pt>
                <c:pt idx="3">
                  <c:v>5-10 Miles</c:v>
                </c:pt>
                <c:pt idx="4">
                  <c:v>More than 10 Miles</c:v>
                </c:pt>
              </c:strCache>
            </c:strRef>
          </c:cat>
          <c:val>
            <c:numRef>
              <c:f>Pivot_Analysis!$C$22:$C$27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F20-48E2-A6B3-95D14ADC0C61}"/>
            </c:ext>
          </c:extLst>
        </c:ser>
        <c:dLbls>
          <c:showLegendKey val="0"/>
          <c:showVal val="0"/>
          <c:showCatName val="0"/>
          <c:showSerName val="0"/>
          <c:showPercent val="0"/>
          <c:showBubbleSize val="0"/>
        </c:dLbls>
        <c:marker val="1"/>
        <c:smooth val="0"/>
        <c:axId val="672606448"/>
        <c:axId val="672605968"/>
      </c:lineChart>
      <c:catAx>
        <c:axId val="67260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05968"/>
        <c:crosses val="autoZero"/>
        <c:auto val="1"/>
        <c:lblAlgn val="ctr"/>
        <c:lblOffset val="100"/>
        <c:noMultiLvlLbl val="0"/>
      </c:catAx>
      <c:valAx>
        <c:axId val="67260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0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by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Pivot_Analysis!$B$39:$B$40</c:f>
              <c:strCache>
                <c:ptCount val="1"/>
                <c:pt idx="0">
                  <c:v>No</c:v>
                </c:pt>
              </c:strCache>
            </c:strRef>
          </c:tx>
          <c:spPr>
            <a:ln w="28575" cap="rnd">
              <a:solidFill>
                <a:schemeClr val="accent1"/>
              </a:solidFill>
              <a:round/>
            </a:ln>
            <a:effectLst/>
          </c:spPr>
          <c:marker>
            <c:symbol val="none"/>
          </c:marker>
          <c:cat>
            <c:strRef>
              <c:f>Pivot_Analysis!$A$41:$A$45</c:f>
              <c:strCache>
                <c:ptCount val="4"/>
                <c:pt idx="0">
                  <c:v>Young Adult</c:v>
                </c:pt>
                <c:pt idx="1">
                  <c:v>Adult</c:v>
                </c:pt>
                <c:pt idx="2">
                  <c:v>Middle Age</c:v>
                </c:pt>
                <c:pt idx="3">
                  <c:v>Senior</c:v>
                </c:pt>
              </c:strCache>
            </c:strRef>
          </c:cat>
          <c:val>
            <c:numRef>
              <c:f>Pivot_Analysis!$B$41:$B$45</c:f>
              <c:numCache>
                <c:formatCode>General</c:formatCode>
                <c:ptCount val="4"/>
                <c:pt idx="0">
                  <c:v>71</c:v>
                </c:pt>
                <c:pt idx="1">
                  <c:v>208</c:v>
                </c:pt>
                <c:pt idx="2">
                  <c:v>123</c:v>
                </c:pt>
                <c:pt idx="3">
                  <c:v>117</c:v>
                </c:pt>
              </c:numCache>
            </c:numRef>
          </c:val>
          <c:smooth val="0"/>
          <c:extLst>
            <c:ext xmlns:c16="http://schemas.microsoft.com/office/drawing/2014/chart" uri="{C3380CC4-5D6E-409C-BE32-E72D297353CC}">
              <c16:uniqueId val="{00000000-F18B-4395-A372-82A5DB46A51F}"/>
            </c:ext>
          </c:extLst>
        </c:ser>
        <c:ser>
          <c:idx val="1"/>
          <c:order val="1"/>
          <c:tx>
            <c:strRef>
              <c:f>Pivot_Analysis!$C$39:$C$40</c:f>
              <c:strCache>
                <c:ptCount val="1"/>
                <c:pt idx="0">
                  <c:v>Yes</c:v>
                </c:pt>
              </c:strCache>
            </c:strRef>
          </c:tx>
          <c:spPr>
            <a:ln w="28575" cap="rnd">
              <a:solidFill>
                <a:schemeClr val="accent2"/>
              </a:solidFill>
              <a:round/>
            </a:ln>
            <a:effectLst/>
          </c:spPr>
          <c:marker>
            <c:symbol val="none"/>
          </c:marker>
          <c:cat>
            <c:strRef>
              <c:f>Pivot_Analysis!$A$41:$A$45</c:f>
              <c:strCache>
                <c:ptCount val="4"/>
                <c:pt idx="0">
                  <c:v>Young Adult</c:v>
                </c:pt>
                <c:pt idx="1">
                  <c:v>Adult</c:v>
                </c:pt>
                <c:pt idx="2">
                  <c:v>Middle Age</c:v>
                </c:pt>
                <c:pt idx="3">
                  <c:v>Senior</c:v>
                </c:pt>
              </c:strCache>
            </c:strRef>
          </c:cat>
          <c:val>
            <c:numRef>
              <c:f>Pivot_Analysis!$C$41:$C$45</c:f>
              <c:numCache>
                <c:formatCode>General</c:formatCode>
                <c:ptCount val="4"/>
                <c:pt idx="0">
                  <c:v>39</c:v>
                </c:pt>
                <c:pt idx="1">
                  <c:v>264</c:v>
                </c:pt>
                <c:pt idx="2">
                  <c:v>124</c:v>
                </c:pt>
                <c:pt idx="3">
                  <c:v>54</c:v>
                </c:pt>
              </c:numCache>
            </c:numRef>
          </c:val>
          <c:smooth val="0"/>
          <c:extLst>
            <c:ext xmlns:c16="http://schemas.microsoft.com/office/drawing/2014/chart" uri="{C3380CC4-5D6E-409C-BE32-E72D297353CC}">
              <c16:uniqueId val="{00000001-F18B-4395-A372-82A5DB46A51F}"/>
            </c:ext>
          </c:extLst>
        </c:ser>
        <c:dLbls>
          <c:showLegendKey val="0"/>
          <c:showVal val="0"/>
          <c:showCatName val="0"/>
          <c:showSerName val="0"/>
          <c:showPercent val="0"/>
          <c:showBubbleSize val="0"/>
        </c:dLbls>
        <c:smooth val="0"/>
        <c:axId val="849216944"/>
        <c:axId val="849217424"/>
      </c:lineChart>
      <c:catAx>
        <c:axId val="84921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Age_Brackets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217424"/>
        <c:crosses val="autoZero"/>
        <c:auto val="1"/>
        <c:lblAlgn val="ctr"/>
        <c:lblOffset val="100"/>
        <c:noMultiLvlLbl val="0"/>
      </c:catAx>
      <c:valAx>
        <c:axId val="84921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21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Avg income by</a:t>
            </a:r>
            <a:r>
              <a:rPr lang="en-IN" sz="1200" baseline="0"/>
              <a:t> gender and bike purchase</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Pivot_Analysis!$A$5:$A$7</c:f>
              <c:strCache>
                <c:ptCount val="2"/>
                <c:pt idx="0">
                  <c:v>Female</c:v>
                </c:pt>
                <c:pt idx="1">
                  <c:v>Male</c:v>
                </c:pt>
              </c:strCache>
            </c:strRef>
          </c:cat>
          <c:val>
            <c:numRef>
              <c:f>Pivot_Analysis!$B$5:$B$7</c:f>
              <c:numCache>
                <c:formatCode>"₹"\ #,##0</c:formatCode>
                <c:ptCount val="2"/>
                <c:pt idx="0">
                  <c:v>53440</c:v>
                </c:pt>
                <c:pt idx="1">
                  <c:v>56208.178438661707</c:v>
                </c:pt>
              </c:numCache>
            </c:numRef>
          </c:val>
          <c:extLst>
            <c:ext xmlns:c16="http://schemas.microsoft.com/office/drawing/2014/chart" uri="{C3380CC4-5D6E-409C-BE32-E72D297353CC}">
              <c16:uniqueId val="{00000000-9440-48F0-BDD7-AD791E5C07EC}"/>
            </c:ext>
          </c:extLst>
        </c:ser>
        <c:ser>
          <c:idx val="1"/>
          <c:order val="1"/>
          <c:tx>
            <c:strRef>
              <c:f>Pivot_Analysis!$C$3:$C$4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Pivot_Analysis!$A$5:$A$7</c:f>
              <c:strCache>
                <c:ptCount val="2"/>
                <c:pt idx="0">
                  <c:v>Female</c:v>
                </c:pt>
                <c:pt idx="1">
                  <c:v>Male</c:v>
                </c:pt>
              </c:strCache>
            </c:strRef>
          </c:cat>
          <c:val>
            <c:numRef>
              <c:f>Pivot_Analysis!$C$5:$C$7</c:f>
              <c:numCache>
                <c:formatCode>"₹"\ #,##0</c:formatCode>
                <c:ptCount val="2"/>
                <c:pt idx="0">
                  <c:v>55774.058577405856</c:v>
                </c:pt>
                <c:pt idx="1">
                  <c:v>60123.966942148763</c:v>
                </c:pt>
              </c:numCache>
            </c:numRef>
          </c:val>
          <c:extLst>
            <c:ext xmlns:c16="http://schemas.microsoft.com/office/drawing/2014/chart" uri="{C3380CC4-5D6E-409C-BE32-E72D297353CC}">
              <c16:uniqueId val="{00000001-9440-48F0-BDD7-AD791E5C07EC}"/>
            </c:ext>
          </c:extLst>
        </c:ser>
        <c:dLbls>
          <c:showLegendKey val="0"/>
          <c:showVal val="0"/>
          <c:showCatName val="0"/>
          <c:showSerName val="0"/>
          <c:showPercent val="0"/>
          <c:showBubbleSize val="0"/>
        </c:dLbls>
        <c:gapWidth val="150"/>
        <c:shape val="box"/>
        <c:axId val="672583408"/>
        <c:axId val="672588688"/>
        <c:axId val="0"/>
      </c:bar3DChart>
      <c:catAx>
        <c:axId val="6725834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2588688"/>
        <c:crosses val="autoZero"/>
        <c:auto val="1"/>
        <c:lblAlgn val="ctr"/>
        <c:lblOffset val="100"/>
        <c:noMultiLvlLbl val="0"/>
      </c:catAx>
      <c:valAx>
        <c:axId val="67258868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25834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Dataset.xlsx]Pivot_Analysis!PivotTable2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Pivot_Analysis!$A$22:$A$27</c:f>
              <c:strCache>
                <c:ptCount val="5"/>
                <c:pt idx="0">
                  <c:v>0-1 Miles</c:v>
                </c:pt>
                <c:pt idx="1">
                  <c:v>1-2 Miles</c:v>
                </c:pt>
                <c:pt idx="2">
                  <c:v>2-5 Miles</c:v>
                </c:pt>
                <c:pt idx="3">
                  <c:v>5-10 Miles</c:v>
                </c:pt>
                <c:pt idx="4">
                  <c:v>More than 10 Miles</c:v>
                </c:pt>
              </c:strCache>
            </c:strRef>
          </c:cat>
          <c:val>
            <c:numRef>
              <c:f>Pivot_Analysis!$B$22:$B$27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EC9-4DA0-9A75-B42550D8B7A3}"/>
            </c:ext>
          </c:extLst>
        </c:ser>
        <c:ser>
          <c:idx val="1"/>
          <c:order val="1"/>
          <c:tx>
            <c:strRef>
              <c:f>Pivot_Analysis!$C$20:$C$21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Pivot_Analysis!$A$22:$A$27</c:f>
              <c:strCache>
                <c:ptCount val="5"/>
                <c:pt idx="0">
                  <c:v>0-1 Miles</c:v>
                </c:pt>
                <c:pt idx="1">
                  <c:v>1-2 Miles</c:v>
                </c:pt>
                <c:pt idx="2">
                  <c:v>2-5 Miles</c:v>
                </c:pt>
                <c:pt idx="3">
                  <c:v>5-10 Miles</c:v>
                </c:pt>
                <c:pt idx="4">
                  <c:v>More than 10 Miles</c:v>
                </c:pt>
              </c:strCache>
            </c:strRef>
          </c:cat>
          <c:val>
            <c:numRef>
              <c:f>Pivot_Analysis!$C$22:$C$27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EC9-4DA0-9A75-B42550D8B7A3}"/>
            </c:ext>
          </c:extLst>
        </c:ser>
        <c:dLbls>
          <c:showLegendKey val="0"/>
          <c:showVal val="0"/>
          <c:showCatName val="0"/>
          <c:showSerName val="0"/>
          <c:showPercent val="0"/>
          <c:showBubbleSize val="0"/>
        </c:dLbls>
        <c:marker val="1"/>
        <c:smooth val="0"/>
        <c:axId val="672606448"/>
        <c:axId val="672605968"/>
      </c:lineChart>
      <c:catAx>
        <c:axId val="6726064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2605968"/>
        <c:crosses val="autoZero"/>
        <c:auto val="1"/>
        <c:lblAlgn val="ctr"/>
        <c:lblOffset val="100"/>
        <c:noMultiLvlLbl val="0"/>
      </c:catAx>
      <c:valAx>
        <c:axId val="672605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260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Dataset.xlsx]Pivot_Analysis!PivotTable3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Purchase by Age</a:t>
            </a:r>
          </a:p>
        </c:rich>
      </c:tx>
      <c:layout>
        <c:manualLayout>
          <c:xMode val="edge"/>
          <c:yMode val="edge"/>
          <c:x val="0.36182810892788814"/>
          <c:y val="0.1131904455322684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Pivot_Analysis!$B$39:$B$40</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Pivot_Analysis!$A$41:$A$45</c:f>
              <c:strCache>
                <c:ptCount val="4"/>
                <c:pt idx="0">
                  <c:v>Young Adult</c:v>
                </c:pt>
                <c:pt idx="1">
                  <c:v>Adult</c:v>
                </c:pt>
                <c:pt idx="2">
                  <c:v>Middle Age</c:v>
                </c:pt>
                <c:pt idx="3">
                  <c:v>Senior</c:v>
                </c:pt>
              </c:strCache>
            </c:strRef>
          </c:cat>
          <c:val>
            <c:numRef>
              <c:f>Pivot_Analysis!$B$41:$B$45</c:f>
              <c:numCache>
                <c:formatCode>General</c:formatCode>
                <c:ptCount val="4"/>
                <c:pt idx="0">
                  <c:v>71</c:v>
                </c:pt>
                <c:pt idx="1">
                  <c:v>208</c:v>
                </c:pt>
                <c:pt idx="2">
                  <c:v>123</c:v>
                </c:pt>
                <c:pt idx="3">
                  <c:v>117</c:v>
                </c:pt>
              </c:numCache>
            </c:numRef>
          </c:val>
          <c:smooth val="0"/>
          <c:extLst>
            <c:ext xmlns:c16="http://schemas.microsoft.com/office/drawing/2014/chart" uri="{C3380CC4-5D6E-409C-BE32-E72D297353CC}">
              <c16:uniqueId val="{00000000-10E2-45F4-B052-9D70D28B7FAA}"/>
            </c:ext>
          </c:extLst>
        </c:ser>
        <c:ser>
          <c:idx val="1"/>
          <c:order val="1"/>
          <c:tx>
            <c:strRef>
              <c:f>Pivot_Analysis!$C$39:$C$40</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Pivot_Analysis!$A$41:$A$45</c:f>
              <c:strCache>
                <c:ptCount val="4"/>
                <c:pt idx="0">
                  <c:v>Young Adult</c:v>
                </c:pt>
                <c:pt idx="1">
                  <c:v>Adult</c:v>
                </c:pt>
                <c:pt idx="2">
                  <c:v>Middle Age</c:v>
                </c:pt>
                <c:pt idx="3">
                  <c:v>Senior</c:v>
                </c:pt>
              </c:strCache>
            </c:strRef>
          </c:cat>
          <c:val>
            <c:numRef>
              <c:f>Pivot_Analysis!$C$41:$C$45</c:f>
              <c:numCache>
                <c:formatCode>General</c:formatCode>
                <c:ptCount val="4"/>
                <c:pt idx="0">
                  <c:v>39</c:v>
                </c:pt>
                <c:pt idx="1">
                  <c:v>264</c:v>
                </c:pt>
                <c:pt idx="2">
                  <c:v>124</c:v>
                </c:pt>
                <c:pt idx="3">
                  <c:v>54</c:v>
                </c:pt>
              </c:numCache>
            </c:numRef>
          </c:val>
          <c:smooth val="0"/>
          <c:extLst>
            <c:ext xmlns:c16="http://schemas.microsoft.com/office/drawing/2014/chart" uri="{C3380CC4-5D6E-409C-BE32-E72D297353CC}">
              <c16:uniqueId val="{00000001-10E2-45F4-B052-9D70D28B7FAA}"/>
            </c:ext>
          </c:extLst>
        </c:ser>
        <c:dLbls>
          <c:showLegendKey val="0"/>
          <c:showVal val="0"/>
          <c:showCatName val="0"/>
          <c:showSerName val="0"/>
          <c:showPercent val="0"/>
          <c:showBubbleSize val="0"/>
        </c:dLbls>
        <c:marker val="1"/>
        <c:smooth val="0"/>
        <c:axId val="849216944"/>
        <c:axId val="849217424"/>
      </c:lineChart>
      <c:catAx>
        <c:axId val="8492169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Age_Brackets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9217424"/>
        <c:crosses val="autoZero"/>
        <c:auto val="1"/>
        <c:lblAlgn val="ctr"/>
        <c:lblOffset val="100"/>
        <c:noMultiLvlLbl val="0"/>
      </c:catAx>
      <c:valAx>
        <c:axId val="8492174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921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579120</xdr:colOff>
      <xdr:row>1</xdr:row>
      <xdr:rowOff>171450</xdr:rowOff>
    </xdr:from>
    <xdr:to>
      <xdr:col>12</xdr:col>
      <xdr:colOff>274320</xdr:colOff>
      <xdr:row>16</xdr:row>
      <xdr:rowOff>171450</xdr:rowOff>
    </xdr:to>
    <xdr:graphicFrame macro="">
      <xdr:nvGraphicFramePr>
        <xdr:cNvPr id="2" name="Chart 1">
          <a:extLst>
            <a:ext uri="{FF2B5EF4-FFF2-40B4-BE49-F238E27FC236}">
              <a16:creationId xmlns:a16="http://schemas.microsoft.com/office/drawing/2014/main" id="{A007311D-51E8-48EE-4A62-A552FDBE4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18</xdr:row>
      <xdr:rowOff>125730</xdr:rowOff>
    </xdr:from>
    <xdr:to>
      <xdr:col>12</xdr:col>
      <xdr:colOff>373380</xdr:colOff>
      <xdr:row>33</xdr:row>
      <xdr:rowOff>125730</xdr:rowOff>
    </xdr:to>
    <xdr:graphicFrame macro="">
      <xdr:nvGraphicFramePr>
        <xdr:cNvPr id="3" name="Chart 2">
          <a:extLst>
            <a:ext uri="{FF2B5EF4-FFF2-40B4-BE49-F238E27FC236}">
              <a16:creationId xmlns:a16="http://schemas.microsoft.com/office/drawing/2014/main" id="{C224C788-B521-77AF-AA52-660C30B08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599509</xdr:colOff>
      <xdr:row>38</xdr:row>
      <xdr:rowOff>17403</xdr:rowOff>
    </xdr:from>
    <xdr:to>
      <xdr:col>12</xdr:col>
      <xdr:colOff>296768</xdr:colOff>
      <xdr:row>53</xdr:row>
      <xdr:rowOff>17402</xdr:rowOff>
    </xdr:to>
    <xdr:graphicFrame macro="">
      <xdr:nvGraphicFramePr>
        <xdr:cNvPr id="4" name="Chart 3">
          <a:extLst>
            <a:ext uri="{FF2B5EF4-FFF2-40B4-BE49-F238E27FC236}">
              <a16:creationId xmlns:a16="http://schemas.microsoft.com/office/drawing/2014/main" id="{56A2AB1F-6927-994A-8C7F-80665F331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178130</xdr:colOff>
      <xdr:row>8</xdr:row>
      <xdr:rowOff>98962</xdr:rowOff>
    </xdr:from>
    <xdr:to>
      <xdr:col>10</xdr:col>
      <xdr:colOff>466455</xdr:colOff>
      <xdr:row>23</xdr:row>
      <xdr:rowOff>136033</xdr:rowOff>
    </xdr:to>
    <xdr:graphicFrame macro="">
      <xdr:nvGraphicFramePr>
        <xdr:cNvPr id="2" name="Chart 1">
          <a:extLst>
            <a:ext uri="{FF2B5EF4-FFF2-40B4-BE49-F238E27FC236}">
              <a16:creationId xmlns:a16="http://schemas.microsoft.com/office/drawing/2014/main" id="{E56162FA-A9CB-4129-93FC-92F7FEAEE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178129</xdr:colOff>
      <xdr:row>23</xdr:row>
      <xdr:rowOff>158338</xdr:rowOff>
    </xdr:from>
    <xdr:to>
      <xdr:col>18</xdr:col>
      <xdr:colOff>158337</xdr:colOff>
      <xdr:row>39</xdr:row>
      <xdr:rowOff>17279</xdr:rowOff>
    </xdr:to>
    <xdr:graphicFrame macro="">
      <xdr:nvGraphicFramePr>
        <xdr:cNvPr id="3" name="Chart 2">
          <a:extLst>
            <a:ext uri="{FF2B5EF4-FFF2-40B4-BE49-F238E27FC236}">
              <a16:creationId xmlns:a16="http://schemas.microsoft.com/office/drawing/2014/main" id="{8C634BB8-B6F0-418F-92D7-F30BB03A3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475013</xdr:colOff>
      <xdr:row>8</xdr:row>
      <xdr:rowOff>89064</xdr:rowOff>
    </xdr:from>
    <xdr:to>
      <xdr:col>18</xdr:col>
      <xdr:colOff>124129</xdr:colOff>
      <xdr:row>23</xdr:row>
      <xdr:rowOff>128649</xdr:rowOff>
    </xdr:to>
    <xdr:graphicFrame macro="">
      <xdr:nvGraphicFramePr>
        <xdr:cNvPr id="4" name="Chart 3">
          <a:extLst>
            <a:ext uri="{FF2B5EF4-FFF2-40B4-BE49-F238E27FC236}">
              <a16:creationId xmlns:a16="http://schemas.microsoft.com/office/drawing/2014/main" id="{9CE93F7F-6CAC-4503-8A8E-2CE38F260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211974</xdr:colOff>
      <xdr:row>13</xdr:row>
      <xdr:rowOff>85800</xdr:rowOff>
    </xdr:from>
    <xdr:to>
      <xdr:col>3</xdr:col>
      <xdr:colOff>200099</xdr:colOff>
      <xdr:row>19</xdr:row>
      <xdr:rowOff>108858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344CA21-19D9-A90C-4847-8BBB3283E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1974" y="2401488"/>
              <a:ext cx="1828800" cy="1091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202079</xdr:colOff>
      <xdr:row>19</xdr:row>
      <xdr:rowOff>125383</xdr:rowOff>
    </xdr:from>
    <xdr:to>
      <xdr:col>3</xdr:col>
      <xdr:colOff>190204</xdr:colOff>
      <xdr:row>28</xdr:row>
      <xdr:rowOff>138546</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606D4778-76CC-7C74-414A-64A9981B3C5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02079" y="3509851"/>
              <a:ext cx="1828800" cy="1616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210292</xdr:colOff>
      <xdr:row>8</xdr:row>
      <xdr:rowOff>104009</xdr:rowOff>
    </xdr:from>
    <xdr:to>
      <xdr:col>3</xdr:col>
      <xdr:colOff>198417</xdr:colOff>
      <xdr:row>13</xdr:row>
      <xdr:rowOff>79170</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C0E653C3-EF39-7757-EE20-4CA6B332F4C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10292" y="1529048"/>
              <a:ext cx="1828800" cy="865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ula prasath" refreshedDate="46092.610239120368" createdVersion="8" refreshedVersion="8" minRefreshableVersion="3" recordCount="1000" xr:uid="{692A3E6B-8C0D-48C3-891F-1C33162E5E9D}">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s" numFmtId="0">
      <sharedItems count="4">
        <s v="Adult"/>
        <s v="Senior"/>
        <s v="Middle Age"/>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591369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2"/>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2"/>
    <x v="1"/>
  </r>
  <r>
    <n v="12697"/>
    <x v="1"/>
    <x v="0"/>
    <n v="90000"/>
    <n v="0"/>
    <x v="0"/>
    <s v="Professional"/>
    <s v="No"/>
    <n v="4"/>
    <x v="4"/>
    <x v="1"/>
    <n v="36"/>
    <x v="0"/>
    <x v="0"/>
  </r>
  <r>
    <n v="11434"/>
    <x v="0"/>
    <x v="1"/>
    <n v="170000"/>
    <n v="5"/>
    <x v="1"/>
    <s v="Professional"/>
    <s v="Yes"/>
    <n v="0"/>
    <x v="0"/>
    <x v="0"/>
    <n v="55"/>
    <x v="2"/>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2"/>
    <x v="0"/>
  </r>
  <r>
    <n v="27183"/>
    <x v="1"/>
    <x v="1"/>
    <n v="40000"/>
    <n v="2"/>
    <x v="1"/>
    <s v="Clerical"/>
    <s v="Yes"/>
    <n v="1"/>
    <x v="3"/>
    <x v="0"/>
    <n v="35"/>
    <x v="0"/>
    <x v="1"/>
  </r>
  <r>
    <n v="25940"/>
    <x v="1"/>
    <x v="1"/>
    <n v="20000"/>
    <n v="2"/>
    <x v="3"/>
    <s v="Clerical"/>
    <s v="Yes"/>
    <n v="2"/>
    <x v="2"/>
    <x v="1"/>
    <n v="55"/>
    <x v="2"/>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3"/>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3"/>
    <x v="1"/>
  </r>
  <r>
    <n v="20942"/>
    <x v="1"/>
    <x v="0"/>
    <n v="20000"/>
    <n v="0"/>
    <x v="2"/>
    <s v="Manual"/>
    <s v="No"/>
    <n v="1"/>
    <x v="2"/>
    <x v="0"/>
    <n v="31"/>
    <x v="0"/>
    <x v="0"/>
  </r>
  <r>
    <n v="18484"/>
    <x v="1"/>
    <x v="1"/>
    <n v="80000"/>
    <n v="2"/>
    <x v="2"/>
    <s v="Skilled Manual"/>
    <s v="No"/>
    <n v="2"/>
    <x v="3"/>
    <x v="1"/>
    <n v="50"/>
    <x v="2"/>
    <x v="1"/>
  </r>
  <r>
    <n v="12291"/>
    <x v="1"/>
    <x v="1"/>
    <n v="90000"/>
    <n v="5"/>
    <x v="1"/>
    <s v="Professional"/>
    <s v="No"/>
    <n v="2"/>
    <x v="1"/>
    <x v="0"/>
    <n v="62"/>
    <x v="1"/>
    <x v="1"/>
  </r>
  <r>
    <n v="28380"/>
    <x v="1"/>
    <x v="0"/>
    <n v="10000"/>
    <n v="5"/>
    <x v="3"/>
    <s v="Manual"/>
    <s v="No"/>
    <n v="2"/>
    <x v="0"/>
    <x v="0"/>
    <n v="41"/>
    <x v="0"/>
    <x v="0"/>
  </r>
  <r>
    <n v="17891"/>
    <x v="0"/>
    <x v="0"/>
    <n v="10000"/>
    <n v="2"/>
    <x v="1"/>
    <s v="Manual"/>
    <s v="Yes"/>
    <n v="1"/>
    <x v="0"/>
    <x v="0"/>
    <n v="50"/>
    <x v="2"/>
    <x v="1"/>
  </r>
  <r>
    <n v="27832"/>
    <x v="1"/>
    <x v="0"/>
    <n v="30000"/>
    <n v="0"/>
    <x v="1"/>
    <s v="Clerical"/>
    <s v="No"/>
    <n v="1"/>
    <x v="1"/>
    <x v="0"/>
    <n v="30"/>
    <x v="3"/>
    <x v="0"/>
  </r>
  <r>
    <n v="26863"/>
    <x v="1"/>
    <x v="1"/>
    <n v="20000"/>
    <n v="0"/>
    <x v="2"/>
    <s v="Manual"/>
    <s v="No"/>
    <n v="1"/>
    <x v="1"/>
    <x v="0"/>
    <n v="28"/>
    <x v="3"/>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2"/>
    <x v="1"/>
  </r>
  <r>
    <n v="29380"/>
    <x v="0"/>
    <x v="0"/>
    <n v="20000"/>
    <n v="3"/>
    <x v="2"/>
    <s v="Manual"/>
    <s v="Yes"/>
    <n v="0"/>
    <x v="0"/>
    <x v="0"/>
    <n v="41"/>
    <x v="0"/>
    <x v="1"/>
  </r>
  <r>
    <n v="23986"/>
    <x v="0"/>
    <x v="0"/>
    <n v="20000"/>
    <n v="1"/>
    <x v="0"/>
    <s v="Clerical"/>
    <s v="Yes"/>
    <n v="0"/>
    <x v="0"/>
    <x v="0"/>
    <n v="66"/>
    <x v="1"/>
    <x v="1"/>
  </r>
  <r>
    <n v="24466"/>
    <x v="0"/>
    <x v="0"/>
    <n v="60000"/>
    <n v="1"/>
    <x v="1"/>
    <s v="Skilled Manual"/>
    <s v="Yes"/>
    <n v="1"/>
    <x v="2"/>
    <x v="1"/>
    <n v="46"/>
    <x v="2"/>
    <x v="1"/>
  </r>
  <r>
    <n v="29097"/>
    <x v="1"/>
    <x v="0"/>
    <n v="40000"/>
    <n v="2"/>
    <x v="1"/>
    <s v="Skilled Manual"/>
    <s v="Yes"/>
    <n v="2"/>
    <x v="2"/>
    <x v="1"/>
    <n v="52"/>
    <x v="2"/>
    <x v="1"/>
  </r>
  <r>
    <n v="19487"/>
    <x v="0"/>
    <x v="1"/>
    <n v="30000"/>
    <n v="2"/>
    <x v="1"/>
    <s v="Clerical"/>
    <s v="No"/>
    <n v="2"/>
    <x v="0"/>
    <x v="0"/>
    <n v="42"/>
    <x v="0"/>
    <x v="0"/>
  </r>
  <r>
    <n v="14939"/>
    <x v="1"/>
    <x v="1"/>
    <n v="40000"/>
    <n v="0"/>
    <x v="0"/>
    <s v="Clerical"/>
    <s v="Yes"/>
    <n v="0"/>
    <x v="0"/>
    <x v="0"/>
    <n v="39"/>
    <x v="0"/>
    <x v="1"/>
  </r>
  <r>
    <n v="13826"/>
    <x v="1"/>
    <x v="0"/>
    <n v="30000"/>
    <n v="0"/>
    <x v="1"/>
    <s v="Clerical"/>
    <s v="No"/>
    <n v="1"/>
    <x v="0"/>
    <x v="0"/>
    <n v="28"/>
    <x v="3"/>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2"/>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2"/>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3"/>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2"/>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3"/>
    <x v="0"/>
  </r>
  <r>
    <n v="27969"/>
    <x v="0"/>
    <x v="1"/>
    <n v="80000"/>
    <n v="0"/>
    <x v="0"/>
    <s v="Professional"/>
    <s v="Yes"/>
    <n v="2"/>
    <x v="4"/>
    <x v="1"/>
    <n v="29"/>
    <x v="3"/>
    <x v="1"/>
  </r>
  <r>
    <n v="15752"/>
    <x v="0"/>
    <x v="1"/>
    <n v="80000"/>
    <n v="2"/>
    <x v="2"/>
    <s v="Skilled Manual"/>
    <s v="No"/>
    <n v="2"/>
    <x v="3"/>
    <x v="1"/>
    <n v="50"/>
    <x v="2"/>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2"/>
    <x v="1"/>
  </r>
  <r>
    <n v="28412"/>
    <x v="1"/>
    <x v="1"/>
    <n v="20000"/>
    <n v="0"/>
    <x v="2"/>
    <s v="Manual"/>
    <s v="No"/>
    <n v="1"/>
    <x v="1"/>
    <x v="0"/>
    <n v="29"/>
    <x v="3"/>
    <x v="0"/>
  </r>
  <r>
    <n v="24485"/>
    <x v="1"/>
    <x v="1"/>
    <n v="40000"/>
    <n v="2"/>
    <x v="0"/>
    <s v="Management"/>
    <s v="No"/>
    <n v="1"/>
    <x v="2"/>
    <x v="1"/>
    <n v="52"/>
    <x v="2"/>
    <x v="1"/>
  </r>
  <r>
    <n v="16514"/>
    <x v="1"/>
    <x v="1"/>
    <n v="10000"/>
    <n v="0"/>
    <x v="1"/>
    <s v="Manual"/>
    <s v="Yes"/>
    <n v="1"/>
    <x v="3"/>
    <x v="1"/>
    <n v="26"/>
    <x v="3"/>
    <x v="1"/>
  </r>
  <r>
    <n v="17191"/>
    <x v="1"/>
    <x v="1"/>
    <n v="130000"/>
    <n v="3"/>
    <x v="1"/>
    <s v="Professional"/>
    <s v="No"/>
    <n v="3"/>
    <x v="0"/>
    <x v="0"/>
    <n v="51"/>
    <x v="2"/>
    <x v="1"/>
  </r>
  <r>
    <n v="19608"/>
    <x v="0"/>
    <x v="1"/>
    <n v="80000"/>
    <n v="5"/>
    <x v="0"/>
    <s v="Professional"/>
    <s v="Yes"/>
    <n v="4"/>
    <x v="3"/>
    <x v="1"/>
    <n v="40"/>
    <x v="0"/>
    <x v="0"/>
  </r>
  <r>
    <n v="24119"/>
    <x v="1"/>
    <x v="1"/>
    <n v="30000"/>
    <n v="0"/>
    <x v="1"/>
    <s v="Clerical"/>
    <s v="No"/>
    <n v="1"/>
    <x v="1"/>
    <x v="0"/>
    <n v="29"/>
    <x v="3"/>
    <x v="0"/>
  </r>
  <r>
    <n v="25458"/>
    <x v="0"/>
    <x v="1"/>
    <n v="20000"/>
    <n v="1"/>
    <x v="2"/>
    <s v="Manual"/>
    <s v="No"/>
    <n v="1"/>
    <x v="3"/>
    <x v="0"/>
    <n v="40"/>
    <x v="0"/>
    <x v="1"/>
  </r>
  <r>
    <n v="26886"/>
    <x v="1"/>
    <x v="0"/>
    <n v="30000"/>
    <n v="0"/>
    <x v="1"/>
    <s v="Clerical"/>
    <s v="No"/>
    <n v="1"/>
    <x v="0"/>
    <x v="0"/>
    <n v="29"/>
    <x v="3"/>
    <x v="1"/>
  </r>
  <r>
    <n v="28436"/>
    <x v="1"/>
    <x v="1"/>
    <n v="30000"/>
    <n v="0"/>
    <x v="1"/>
    <s v="Clerical"/>
    <s v="No"/>
    <n v="1"/>
    <x v="0"/>
    <x v="0"/>
    <n v="30"/>
    <x v="3"/>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2"/>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3"/>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2"/>
    <x v="0"/>
  </r>
  <r>
    <n v="26139"/>
    <x v="1"/>
    <x v="1"/>
    <n v="60000"/>
    <n v="1"/>
    <x v="1"/>
    <s v="Skilled Manual"/>
    <s v="Yes"/>
    <n v="1"/>
    <x v="2"/>
    <x v="1"/>
    <n v="45"/>
    <x v="0"/>
    <x v="0"/>
  </r>
  <r>
    <n v="18491"/>
    <x v="1"/>
    <x v="0"/>
    <n v="70000"/>
    <n v="2"/>
    <x v="2"/>
    <s v="Professional"/>
    <s v="Yes"/>
    <n v="2"/>
    <x v="2"/>
    <x v="1"/>
    <n v="49"/>
    <x v="2"/>
    <x v="1"/>
  </r>
  <r>
    <n v="22707"/>
    <x v="1"/>
    <x v="0"/>
    <n v="30000"/>
    <n v="0"/>
    <x v="1"/>
    <s v="Clerical"/>
    <s v="No"/>
    <n v="1"/>
    <x v="1"/>
    <x v="0"/>
    <n v="30"/>
    <x v="3"/>
    <x v="0"/>
  </r>
  <r>
    <n v="20430"/>
    <x v="0"/>
    <x v="1"/>
    <n v="70000"/>
    <n v="2"/>
    <x v="1"/>
    <s v="Skilled Manual"/>
    <s v="Yes"/>
    <n v="2"/>
    <x v="2"/>
    <x v="1"/>
    <n v="52"/>
    <x v="2"/>
    <x v="1"/>
  </r>
  <r>
    <n v="27494"/>
    <x v="1"/>
    <x v="0"/>
    <n v="40000"/>
    <n v="2"/>
    <x v="1"/>
    <s v="Skilled Manual"/>
    <s v="No"/>
    <n v="2"/>
    <x v="3"/>
    <x v="1"/>
    <n v="53"/>
    <x v="2"/>
    <x v="1"/>
  </r>
  <r>
    <n v="26829"/>
    <x v="0"/>
    <x v="0"/>
    <n v="40000"/>
    <n v="0"/>
    <x v="0"/>
    <s v="Clerical"/>
    <s v="Yes"/>
    <n v="0"/>
    <x v="0"/>
    <x v="0"/>
    <n v="38"/>
    <x v="0"/>
    <x v="1"/>
  </r>
  <r>
    <n v="28395"/>
    <x v="1"/>
    <x v="1"/>
    <n v="40000"/>
    <n v="0"/>
    <x v="0"/>
    <s v="Professional"/>
    <s v="No"/>
    <n v="0"/>
    <x v="0"/>
    <x v="0"/>
    <n v="39"/>
    <x v="0"/>
    <x v="1"/>
  </r>
  <r>
    <n v="21006"/>
    <x v="1"/>
    <x v="0"/>
    <n v="30000"/>
    <n v="1"/>
    <x v="1"/>
    <s v="Manual"/>
    <s v="No"/>
    <n v="0"/>
    <x v="0"/>
    <x v="0"/>
    <n v="46"/>
    <x v="2"/>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3"/>
    <x v="1"/>
  </r>
  <r>
    <n v="24140"/>
    <x v="1"/>
    <x v="1"/>
    <n v="10000"/>
    <n v="0"/>
    <x v="4"/>
    <s v="Manual"/>
    <s v="No"/>
    <n v="0"/>
    <x v="0"/>
    <x v="0"/>
    <n v="30"/>
    <x v="3"/>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3"/>
    <x v="0"/>
  </r>
  <r>
    <n v="22988"/>
    <x v="0"/>
    <x v="0"/>
    <n v="40000"/>
    <n v="2"/>
    <x v="0"/>
    <s v="Management"/>
    <s v="Yes"/>
    <n v="2"/>
    <x v="2"/>
    <x v="1"/>
    <n v="66"/>
    <x v="1"/>
    <x v="1"/>
  </r>
  <r>
    <n v="15922"/>
    <x v="0"/>
    <x v="1"/>
    <n v="150000"/>
    <n v="2"/>
    <x v="2"/>
    <s v="Professional"/>
    <s v="Yes"/>
    <n v="4"/>
    <x v="0"/>
    <x v="0"/>
    <n v="48"/>
    <x v="2"/>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2"/>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2"/>
    <x v="0"/>
  </r>
  <r>
    <n v="28683"/>
    <x v="1"/>
    <x v="0"/>
    <n v="10000"/>
    <n v="1"/>
    <x v="2"/>
    <s v="Manual"/>
    <s v="No"/>
    <n v="1"/>
    <x v="2"/>
    <x v="0"/>
    <n v="35"/>
    <x v="0"/>
    <x v="1"/>
  </r>
  <r>
    <n v="17994"/>
    <x v="1"/>
    <x v="1"/>
    <n v="20000"/>
    <n v="2"/>
    <x v="2"/>
    <s v="Manual"/>
    <s v="Yes"/>
    <n v="2"/>
    <x v="0"/>
    <x v="0"/>
    <n v="42"/>
    <x v="0"/>
    <x v="0"/>
  </r>
  <r>
    <n v="24273"/>
    <x v="0"/>
    <x v="0"/>
    <n v="20000"/>
    <n v="2"/>
    <x v="3"/>
    <s v="Clerical"/>
    <s v="Yes"/>
    <n v="2"/>
    <x v="2"/>
    <x v="1"/>
    <n v="55"/>
    <x v="2"/>
    <x v="1"/>
  </r>
  <r>
    <n v="26547"/>
    <x v="1"/>
    <x v="0"/>
    <n v="30000"/>
    <n v="2"/>
    <x v="1"/>
    <s v="Clerical"/>
    <s v="No"/>
    <n v="2"/>
    <x v="2"/>
    <x v="1"/>
    <n v="60"/>
    <x v="1"/>
    <x v="1"/>
  </r>
  <r>
    <n v="22500"/>
    <x v="1"/>
    <x v="1"/>
    <n v="40000"/>
    <n v="0"/>
    <x v="0"/>
    <s v="Professional"/>
    <s v="No"/>
    <n v="0"/>
    <x v="0"/>
    <x v="0"/>
    <n v="40"/>
    <x v="0"/>
    <x v="1"/>
  </r>
  <r>
    <n v="23993"/>
    <x v="1"/>
    <x v="0"/>
    <n v="10000"/>
    <n v="0"/>
    <x v="1"/>
    <s v="Manual"/>
    <s v="No"/>
    <n v="1"/>
    <x v="0"/>
    <x v="1"/>
    <n v="26"/>
    <x v="3"/>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3"/>
    <x v="0"/>
  </r>
  <r>
    <n v="26154"/>
    <x v="0"/>
    <x v="1"/>
    <n v="60000"/>
    <n v="1"/>
    <x v="1"/>
    <s v="Skilled Manual"/>
    <s v="Yes"/>
    <n v="1"/>
    <x v="2"/>
    <x v="1"/>
    <n v="43"/>
    <x v="0"/>
    <x v="1"/>
  </r>
  <r>
    <n v="29117"/>
    <x v="1"/>
    <x v="1"/>
    <n v="100000"/>
    <n v="1"/>
    <x v="0"/>
    <s v="Management"/>
    <s v="No"/>
    <n v="3"/>
    <x v="0"/>
    <x v="1"/>
    <n v="48"/>
    <x v="2"/>
    <x v="0"/>
  </r>
  <r>
    <n v="17845"/>
    <x v="1"/>
    <x v="0"/>
    <n v="20000"/>
    <n v="0"/>
    <x v="3"/>
    <s v="Manual"/>
    <s v="No"/>
    <n v="2"/>
    <x v="3"/>
    <x v="0"/>
    <n v="32"/>
    <x v="0"/>
    <x v="0"/>
  </r>
  <r>
    <n v="25058"/>
    <x v="0"/>
    <x v="1"/>
    <n v="100000"/>
    <n v="1"/>
    <x v="0"/>
    <s v="Management"/>
    <s v="Yes"/>
    <n v="3"/>
    <x v="1"/>
    <x v="1"/>
    <n v="47"/>
    <x v="2"/>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2"/>
    <x v="0"/>
  </r>
  <r>
    <n v="25605"/>
    <x v="1"/>
    <x v="0"/>
    <n v="20000"/>
    <n v="2"/>
    <x v="1"/>
    <s v="Manual"/>
    <s v="No"/>
    <n v="1"/>
    <x v="0"/>
    <x v="0"/>
    <n v="54"/>
    <x v="2"/>
    <x v="1"/>
  </r>
  <r>
    <n v="20797"/>
    <x v="0"/>
    <x v="0"/>
    <n v="10000"/>
    <n v="1"/>
    <x v="0"/>
    <s v="Manual"/>
    <s v="Yes"/>
    <n v="0"/>
    <x v="0"/>
    <x v="0"/>
    <n v="48"/>
    <x v="2"/>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2"/>
    <x v="0"/>
  </r>
  <r>
    <n v="22402"/>
    <x v="0"/>
    <x v="1"/>
    <n v="10000"/>
    <n v="0"/>
    <x v="1"/>
    <s v="Manual"/>
    <s v="Yes"/>
    <n v="1"/>
    <x v="1"/>
    <x v="1"/>
    <n v="25"/>
    <x v="3"/>
    <x v="1"/>
  </r>
  <r>
    <n v="15465"/>
    <x v="0"/>
    <x v="0"/>
    <n v="10000"/>
    <n v="0"/>
    <x v="1"/>
    <s v="Manual"/>
    <s v="No"/>
    <n v="1"/>
    <x v="0"/>
    <x v="1"/>
    <n v="25"/>
    <x v="3"/>
    <x v="0"/>
  </r>
  <r>
    <n v="26757"/>
    <x v="1"/>
    <x v="1"/>
    <n v="90000"/>
    <n v="1"/>
    <x v="0"/>
    <s v="Professional"/>
    <s v="Yes"/>
    <n v="1"/>
    <x v="1"/>
    <x v="1"/>
    <n v="47"/>
    <x v="2"/>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2"/>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3"/>
    <x v="0"/>
  </r>
  <r>
    <n v="19442"/>
    <x v="1"/>
    <x v="1"/>
    <n v="50000"/>
    <n v="0"/>
    <x v="4"/>
    <s v="Skilled Manual"/>
    <s v="Yes"/>
    <n v="0"/>
    <x v="0"/>
    <x v="0"/>
    <n v="37"/>
    <x v="0"/>
    <x v="1"/>
  </r>
  <r>
    <n v="17504"/>
    <x v="1"/>
    <x v="0"/>
    <n v="80000"/>
    <n v="2"/>
    <x v="1"/>
    <s v="Skilled Manual"/>
    <s v="Yes"/>
    <n v="2"/>
    <x v="2"/>
    <x v="1"/>
    <n v="52"/>
    <x v="2"/>
    <x v="1"/>
  </r>
  <r>
    <n v="12253"/>
    <x v="1"/>
    <x v="0"/>
    <n v="20000"/>
    <n v="0"/>
    <x v="1"/>
    <s v="Manual"/>
    <s v="Yes"/>
    <n v="0"/>
    <x v="0"/>
    <x v="1"/>
    <n v="29"/>
    <x v="3"/>
    <x v="1"/>
  </r>
  <r>
    <n v="27304"/>
    <x v="1"/>
    <x v="0"/>
    <n v="110000"/>
    <n v="2"/>
    <x v="1"/>
    <s v="Professional"/>
    <s v="No"/>
    <n v="3"/>
    <x v="2"/>
    <x v="0"/>
    <n v="48"/>
    <x v="2"/>
    <x v="0"/>
  </r>
  <r>
    <n v="14191"/>
    <x v="0"/>
    <x v="1"/>
    <n v="160000"/>
    <n v="4"/>
    <x v="1"/>
    <s v="Professional"/>
    <s v="No"/>
    <n v="2"/>
    <x v="4"/>
    <x v="0"/>
    <n v="55"/>
    <x v="2"/>
    <x v="1"/>
  </r>
  <r>
    <n v="12212"/>
    <x v="0"/>
    <x v="0"/>
    <n v="10000"/>
    <n v="0"/>
    <x v="4"/>
    <s v="Manual"/>
    <s v="Yes"/>
    <n v="0"/>
    <x v="0"/>
    <x v="0"/>
    <n v="37"/>
    <x v="0"/>
    <x v="1"/>
  </r>
  <r>
    <n v="25529"/>
    <x v="1"/>
    <x v="1"/>
    <n v="10000"/>
    <n v="1"/>
    <x v="4"/>
    <s v="Manual"/>
    <s v="Yes"/>
    <n v="0"/>
    <x v="0"/>
    <x v="0"/>
    <n v="44"/>
    <x v="0"/>
    <x v="0"/>
  </r>
  <r>
    <n v="22170"/>
    <x v="0"/>
    <x v="0"/>
    <n v="30000"/>
    <n v="3"/>
    <x v="1"/>
    <s v="Clerical"/>
    <s v="No"/>
    <n v="2"/>
    <x v="3"/>
    <x v="1"/>
    <n v="55"/>
    <x v="2"/>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2"/>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2"/>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3"/>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3"/>
    <x v="1"/>
  </r>
  <r>
    <n v="18626"/>
    <x v="1"/>
    <x v="1"/>
    <n v="40000"/>
    <n v="2"/>
    <x v="1"/>
    <s v="Clerical"/>
    <s v="Yes"/>
    <n v="0"/>
    <x v="3"/>
    <x v="0"/>
    <n v="33"/>
    <x v="0"/>
    <x v="1"/>
  </r>
  <r>
    <n v="29298"/>
    <x v="1"/>
    <x v="0"/>
    <n v="60000"/>
    <n v="1"/>
    <x v="1"/>
    <s v="Skilled Manual"/>
    <s v="Yes"/>
    <n v="1"/>
    <x v="2"/>
    <x v="1"/>
    <n v="46"/>
    <x v="2"/>
    <x v="1"/>
  </r>
  <r>
    <n v="24842"/>
    <x v="1"/>
    <x v="0"/>
    <n v="90000"/>
    <n v="3"/>
    <x v="2"/>
    <s v="Professional"/>
    <s v="No"/>
    <n v="1"/>
    <x v="1"/>
    <x v="0"/>
    <n v="51"/>
    <x v="2"/>
    <x v="0"/>
  </r>
  <r>
    <n v="15657"/>
    <x v="0"/>
    <x v="1"/>
    <n v="30000"/>
    <n v="3"/>
    <x v="4"/>
    <s v="Clerical"/>
    <s v="Yes"/>
    <n v="0"/>
    <x v="0"/>
    <x v="0"/>
    <n v="46"/>
    <x v="2"/>
    <x v="1"/>
  </r>
  <r>
    <n v="11415"/>
    <x v="1"/>
    <x v="1"/>
    <n v="90000"/>
    <n v="5"/>
    <x v="1"/>
    <s v="Professional"/>
    <s v="No"/>
    <n v="2"/>
    <x v="4"/>
    <x v="0"/>
    <n v="62"/>
    <x v="1"/>
    <x v="0"/>
  </r>
  <r>
    <n v="28729"/>
    <x v="1"/>
    <x v="0"/>
    <n v="20000"/>
    <n v="0"/>
    <x v="3"/>
    <s v="Manual"/>
    <s v="Yes"/>
    <n v="2"/>
    <x v="3"/>
    <x v="0"/>
    <n v="26"/>
    <x v="3"/>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3"/>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2"/>
    <x v="1"/>
  </r>
  <r>
    <n v="25026"/>
    <x v="0"/>
    <x v="1"/>
    <n v="20000"/>
    <n v="2"/>
    <x v="3"/>
    <s v="Clerical"/>
    <s v="Yes"/>
    <n v="3"/>
    <x v="2"/>
    <x v="1"/>
    <n v="54"/>
    <x v="2"/>
    <x v="0"/>
  </r>
  <r>
    <n v="13673"/>
    <x v="1"/>
    <x v="0"/>
    <n v="20000"/>
    <n v="0"/>
    <x v="3"/>
    <s v="Manual"/>
    <s v="No"/>
    <n v="2"/>
    <x v="0"/>
    <x v="0"/>
    <n v="25"/>
    <x v="3"/>
    <x v="0"/>
  </r>
  <r>
    <n v="16043"/>
    <x v="1"/>
    <x v="1"/>
    <n v="10000"/>
    <n v="1"/>
    <x v="0"/>
    <s v="Manual"/>
    <s v="Yes"/>
    <n v="0"/>
    <x v="0"/>
    <x v="0"/>
    <n v="48"/>
    <x v="2"/>
    <x v="0"/>
  </r>
  <r>
    <n v="22399"/>
    <x v="1"/>
    <x v="1"/>
    <n v="10000"/>
    <n v="0"/>
    <x v="1"/>
    <s v="Manual"/>
    <s v="Yes"/>
    <n v="1"/>
    <x v="3"/>
    <x v="1"/>
    <n v="26"/>
    <x v="3"/>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3"/>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3"/>
    <x v="1"/>
  </r>
  <r>
    <n v="22006"/>
    <x v="0"/>
    <x v="1"/>
    <n v="70000"/>
    <n v="5"/>
    <x v="1"/>
    <s v="Skilled Manual"/>
    <s v="Yes"/>
    <n v="3"/>
    <x v="2"/>
    <x v="1"/>
    <n v="46"/>
    <x v="2"/>
    <x v="0"/>
  </r>
  <r>
    <n v="20060"/>
    <x v="1"/>
    <x v="0"/>
    <n v="30000"/>
    <n v="0"/>
    <x v="2"/>
    <s v="Manual"/>
    <s v="No"/>
    <n v="1"/>
    <x v="1"/>
    <x v="0"/>
    <n v="34"/>
    <x v="0"/>
    <x v="1"/>
  </r>
  <r>
    <n v="17702"/>
    <x v="0"/>
    <x v="1"/>
    <n v="10000"/>
    <n v="1"/>
    <x v="4"/>
    <s v="Manual"/>
    <s v="Yes"/>
    <n v="0"/>
    <x v="0"/>
    <x v="0"/>
    <n v="37"/>
    <x v="0"/>
    <x v="0"/>
  </r>
  <r>
    <n v="12503"/>
    <x v="1"/>
    <x v="0"/>
    <n v="30000"/>
    <n v="3"/>
    <x v="1"/>
    <s v="Clerical"/>
    <s v="Yes"/>
    <n v="2"/>
    <x v="0"/>
    <x v="0"/>
    <n v="27"/>
    <x v="3"/>
    <x v="0"/>
  </r>
  <r>
    <n v="23908"/>
    <x v="1"/>
    <x v="1"/>
    <n v="30000"/>
    <n v="1"/>
    <x v="0"/>
    <s v="Clerical"/>
    <s v="No"/>
    <n v="1"/>
    <x v="0"/>
    <x v="0"/>
    <n v="39"/>
    <x v="0"/>
    <x v="1"/>
  </r>
  <r>
    <n v="22527"/>
    <x v="1"/>
    <x v="0"/>
    <n v="20000"/>
    <n v="0"/>
    <x v="2"/>
    <s v="Manual"/>
    <s v="No"/>
    <n v="1"/>
    <x v="1"/>
    <x v="0"/>
    <n v="29"/>
    <x v="3"/>
    <x v="0"/>
  </r>
  <r>
    <n v="19057"/>
    <x v="0"/>
    <x v="0"/>
    <n v="120000"/>
    <n v="3"/>
    <x v="0"/>
    <s v="Management"/>
    <s v="No"/>
    <n v="2"/>
    <x v="4"/>
    <x v="0"/>
    <n v="52"/>
    <x v="2"/>
    <x v="1"/>
  </r>
  <r>
    <n v="18494"/>
    <x v="0"/>
    <x v="1"/>
    <n v="110000"/>
    <n v="5"/>
    <x v="0"/>
    <s v="Management"/>
    <s v="Yes"/>
    <n v="4"/>
    <x v="1"/>
    <x v="1"/>
    <n v="48"/>
    <x v="2"/>
    <x v="1"/>
  </r>
  <r>
    <n v="11249"/>
    <x v="0"/>
    <x v="0"/>
    <n v="130000"/>
    <n v="3"/>
    <x v="1"/>
    <s v="Professional"/>
    <s v="Yes"/>
    <n v="3"/>
    <x v="0"/>
    <x v="0"/>
    <n v="51"/>
    <x v="2"/>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2"/>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2"/>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2"/>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3"/>
    <x v="0"/>
  </r>
  <r>
    <n v="13133"/>
    <x v="1"/>
    <x v="1"/>
    <n v="100000"/>
    <n v="5"/>
    <x v="0"/>
    <s v="Professional"/>
    <s v="Yes"/>
    <n v="1"/>
    <x v="2"/>
    <x v="1"/>
    <n v="47"/>
    <x v="2"/>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2"/>
    <x v="1"/>
  </r>
  <r>
    <n v="25665"/>
    <x v="1"/>
    <x v="0"/>
    <n v="20000"/>
    <n v="0"/>
    <x v="2"/>
    <s v="Manual"/>
    <s v="No"/>
    <n v="1"/>
    <x v="3"/>
    <x v="0"/>
    <n v="28"/>
    <x v="3"/>
    <x v="0"/>
  </r>
  <r>
    <n v="24061"/>
    <x v="0"/>
    <x v="1"/>
    <n v="10000"/>
    <n v="4"/>
    <x v="3"/>
    <s v="Manual"/>
    <s v="Yes"/>
    <n v="1"/>
    <x v="0"/>
    <x v="0"/>
    <n v="40"/>
    <x v="0"/>
    <x v="1"/>
  </r>
  <r>
    <n v="26879"/>
    <x v="1"/>
    <x v="0"/>
    <n v="20000"/>
    <n v="0"/>
    <x v="2"/>
    <s v="Manual"/>
    <s v="No"/>
    <n v="1"/>
    <x v="1"/>
    <x v="0"/>
    <n v="30"/>
    <x v="3"/>
    <x v="0"/>
  </r>
  <r>
    <n v="12284"/>
    <x v="0"/>
    <x v="0"/>
    <n v="30000"/>
    <n v="0"/>
    <x v="0"/>
    <s v="Clerical"/>
    <s v="No"/>
    <n v="0"/>
    <x v="0"/>
    <x v="0"/>
    <n v="36"/>
    <x v="0"/>
    <x v="1"/>
  </r>
  <r>
    <n v="26654"/>
    <x v="0"/>
    <x v="0"/>
    <n v="90000"/>
    <n v="1"/>
    <x v="4"/>
    <s v="Management"/>
    <s v="Yes"/>
    <n v="0"/>
    <x v="0"/>
    <x v="1"/>
    <n v="37"/>
    <x v="0"/>
    <x v="1"/>
  </r>
  <r>
    <n v="14545"/>
    <x v="0"/>
    <x v="0"/>
    <n v="10000"/>
    <n v="2"/>
    <x v="1"/>
    <s v="Manual"/>
    <s v="Yes"/>
    <n v="0"/>
    <x v="3"/>
    <x v="0"/>
    <n v="49"/>
    <x v="2"/>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2"/>
    <x v="0"/>
  </r>
  <r>
    <n v="14544"/>
    <x v="1"/>
    <x v="1"/>
    <n v="10000"/>
    <n v="1"/>
    <x v="1"/>
    <s v="Manual"/>
    <s v="Yes"/>
    <n v="0"/>
    <x v="0"/>
    <x v="0"/>
    <n v="49"/>
    <x v="2"/>
    <x v="0"/>
  </r>
  <r>
    <n v="14312"/>
    <x v="0"/>
    <x v="0"/>
    <n v="60000"/>
    <n v="1"/>
    <x v="1"/>
    <s v="Skilled Manual"/>
    <s v="Yes"/>
    <n v="1"/>
    <x v="2"/>
    <x v="1"/>
    <n v="45"/>
    <x v="0"/>
    <x v="0"/>
  </r>
  <r>
    <n v="29120"/>
    <x v="1"/>
    <x v="0"/>
    <n v="100000"/>
    <n v="1"/>
    <x v="0"/>
    <s v="Management"/>
    <s v="Yes"/>
    <n v="4"/>
    <x v="1"/>
    <x v="1"/>
    <n v="48"/>
    <x v="2"/>
    <x v="0"/>
  </r>
  <r>
    <n v="24187"/>
    <x v="1"/>
    <x v="0"/>
    <n v="30000"/>
    <n v="3"/>
    <x v="4"/>
    <s v="Clerical"/>
    <s v="No"/>
    <n v="0"/>
    <x v="0"/>
    <x v="0"/>
    <n v="46"/>
    <x v="2"/>
    <x v="1"/>
  </r>
  <r>
    <n v="15758"/>
    <x v="0"/>
    <x v="1"/>
    <n v="130000"/>
    <n v="0"/>
    <x v="4"/>
    <s v="Management"/>
    <s v="Yes"/>
    <n v="0"/>
    <x v="2"/>
    <x v="1"/>
    <n v="48"/>
    <x v="2"/>
    <x v="0"/>
  </r>
  <r>
    <n v="29094"/>
    <x v="0"/>
    <x v="1"/>
    <n v="30000"/>
    <n v="3"/>
    <x v="2"/>
    <s v="Skilled Manual"/>
    <s v="Yes"/>
    <n v="2"/>
    <x v="2"/>
    <x v="1"/>
    <n v="54"/>
    <x v="2"/>
    <x v="1"/>
  </r>
  <r>
    <n v="28319"/>
    <x v="1"/>
    <x v="0"/>
    <n v="60000"/>
    <n v="1"/>
    <x v="1"/>
    <s v="Skilled Manual"/>
    <s v="No"/>
    <n v="1"/>
    <x v="0"/>
    <x v="1"/>
    <n v="46"/>
    <x v="2"/>
    <x v="1"/>
  </r>
  <r>
    <n v="16406"/>
    <x v="0"/>
    <x v="1"/>
    <n v="40000"/>
    <n v="0"/>
    <x v="0"/>
    <s v="Clerical"/>
    <s v="No"/>
    <n v="0"/>
    <x v="0"/>
    <x v="0"/>
    <n v="38"/>
    <x v="0"/>
    <x v="1"/>
  </r>
  <r>
    <n v="20923"/>
    <x v="0"/>
    <x v="0"/>
    <n v="40000"/>
    <n v="1"/>
    <x v="0"/>
    <s v="Skilled Manual"/>
    <s v="Yes"/>
    <n v="0"/>
    <x v="0"/>
    <x v="0"/>
    <n v="42"/>
    <x v="0"/>
    <x v="1"/>
  </r>
  <r>
    <n v="11378"/>
    <x v="1"/>
    <x v="0"/>
    <n v="10000"/>
    <n v="1"/>
    <x v="2"/>
    <s v="Manual"/>
    <s v="No"/>
    <n v="1"/>
    <x v="1"/>
    <x v="0"/>
    <n v="46"/>
    <x v="2"/>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2"/>
    <x v="1"/>
  </r>
  <r>
    <n v="13136"/>
    <x v="0"/>
    <x v="0"/>
    <n v="30000"/>
    <n v="2"/>
    <x v="1"/>
    <s v="Clerical"/>
    <s v="No"/>
    <n v="2"/>
    <x v="2"/>
    <x v="1"/>
    <n v="69"/>
    <x v="1"/>
    <x v="0"/>
  </r>
  <r>
    <n v="25906"/>
    <x v="1"/>
    <x v="0"/>
    <n v="10000"/>
    <n v="5"/>
    <x v="2"/>
    <s v="Skilled Manual"/>
    <s v="No"/>
    <n v="2"/>
    <x v="3"/>
    <x v="1"/>
    <n v="62"/>
    <x v="1"/>
    <x v="0"/>
  </r>
  <r>
    <n v="17926"/>
    <x v="1"/>
    <x v="0"/>
    <n v="40000"/>
    <n v="0"/>
    <x v="0"/>
    <s v="Clerical"/>
    <s v="No"/>
    <n v="0"/>
    <x v="0"/>
    <x v="1"/>
    <n v="28"/>
    <x v="3"/>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2"/>
    <x v="1"/>
  </r>
  <r>
    <n v="17522"/>
    <x v="0"/>
    <x v="1"/>
    <n v="120000"/>
    <n v="4"/>
    <x v="0"/>
    <s v="Management"/>
    <s v="Yes"/>
    <n v="1"/>
    <x v="1"/>
    <x v="1"/>
    <n v="47"/>
    <x v="2"/>
    <x v="0"/>
  </r>
  <r>
    <n v="21207"/>
    <x v="0"/>
    <x v="1"/>
    <n v="60000"/>
    <n v="1"/>
    <x v="1"/>
    <s v="Skilled Manual"/>
    <s v="Yes"/>
    <n v="1"/>
    <x v="2"/>
    <x v="1"/>
    <n v="46"/>
    <x v="2"/>
    <x v="0"/>
  </r>
  <r>
    <n v="28102"/>
    <x v="0"/>
    <x v="1"/>
    <n v="20000"/>
    <n v="4"/>
    <x v="2"/>
    <s v="Skilled Manual"/>
    <s v="Yes"/>
    <n v="2"/>
    <x v="2"/>
    <x v="1"/>
    <n v="58"/>
    <x v="1"/>
    <x v="1"/>
  </r>
  <r>
    <n v="23105"/>
    <x v="1"/>
    <x v="1"/>
    <n v="40000"/>
    <n v="3"/>
    <x v="3"/>
    <s v="Clerical"/>
    <s v="No"/>
    <n v="2"/>
    <x v="2"/>
    <x v="1"/>
    <n v="52"/>
    <x v="2"/>
    <x v="1"/>
  </r>
  <r>
    <n v="18740"/>
    <x v="0"/>
    <x v="1"/>
    <n v="80000"/>
    <n v="5"/>
    <x v="0"/>
    <s v="Professional"/>
    <s v="No"/>
    <n v="1"/>
    <x v="0"/>
    <x v="1"/>
    <n v="47"/>
    <x v="2"/>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2"/>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2"/>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3"/>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3"/>
    <x v="0"/>
  </r>
  <r>
    <n v="11489"/>
    <x v="1"/>
    <x v="0"/>
    <n v="20000"/>
    <n v="0"/>
    <x v="3"/>
    <s v="Manual"/>
    <s v="No"/>
    <n v="2"/>
    <x v="3"/>
    <x v="0"/>
    <n v="35"/>
    <x v="0"/>
    <x v="1"/>
  </r>
  <r>
    <n v="18160"/>
    <x v="0"/>
    <x v="1"/>
    <n v="130000"/>
    <n v="3"/>
    <x v="2"/>
    <s v="Professional"/>
    <s v="Yes"/>
    <n v="4"/>
    <x v="2"/>
    <x v="0"/>
    <n v="51"/>
    <x v="2"/>
    <x v="1"/>
  </r>
  <r>
    <n v="25241"/>
    <x v="0"/>
    <x v="1"/>
    <n v="90000"/>
    <n v="2"/>
    <x v="0"/>
    <s v="Professional"/>
    <s v="Yes"/>
    <n v="1"/>
    <x v="2"/>
    <x v="1"/>
    <n v="47"/>
    <x v="2"/>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2"/>
    <x v="1"/>
  </r>
  <r>
    <n v="14554"/>
    <x v="0"/>
    <x v="1"/>
    <n v="20000"/>
    <n v="1"/>
    <x v="0"/>
    <s v="Clerical"/>
    <s v="Yes"/>
    <n v="0"/>
    <x v="0"/>
    <x v="0"/>
    <n v="66"/>
    <x v="1"/>
    <x v="0"/>
  </r>
  <r>
    <n v="16468"/>
    <x v="1"/>
    <x v="1"/>
    <n v="30000"/>
    <n v="0"/>
    <x v="1"/>
    <s v="Clerical"/>
    <s v="Yes"/>
    <n v="1"/>
    <x v="1"/>
    <x v="0"/>
    <n v="30"/>
    <x v="3"/>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2"/>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3"/>
    <x v="1"/>
  </r>
  <r>
    <n v="27878"/>
    <x v="1"/>
    <x v="1"/>
    <n v="20000"/>
    <n v="0"/>
    <x v="1"/>
    <s v="Manual"/>
    <s v="No"/>
    <n v="0"/>
    <x v="0"/>
    <x v="1"/>
    <n v="28"/>
    <x v="3"/>
    <x v="1"/>
  </r>
  <r>
    <n v="13572"/>
    <x v="1"/>
    <x v="1"/>
    <n v="10000"/>
    <n v="3"/>
    <x v="2"/>
    <s v="Manual"/>
    <s v="Yes"/>
    <n v="0"/>
    <x v="0"/>
    <x v="0"/>
    <n v="37"/>
    <x v="0"/>
    <x v="1"/>
  </r>
  <r>
    <n v="27941"/>
    <x v="0"/>
    <x v="0"/>
    <n v="80000"/>
    <n v="4"/>
    <x v="1"/>
    <s v="Professional"/>
    <s v="Yes"/>
    <n v="2"/>
    <x v="1"/>
    <x v="0"/>
    <n v="53"/>
    <x v="2"/>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2"/>
    <x v="1"/>
  </r>
  <r>
    <n v="22538"/>
    <x v="1"/>
    <x v="0"/>
    <n v="10000"/>
    <n v="0"/>
    <x v="3"/>
    <s v="Manual"/>
    <s v="Yes"/>
    <n v="2"/>
    <x v="3"/>
    <x v="0"/>
    <n v="33"/>
    <x v="0"/>
    <x v="0"/>
  </r>
  <r>
    <n v="12332"/>
    <x v="0"/>
    <x v="1"/>
    <n v="90000"/>
    <n v="4"/>
    <x v="2"/>
    <s v="Management"/>
    <s v="Yes"/>
    <n v="3"/>
    <x v="2"/>
    <x v="0"/>
    <n v="58"/>
    <x v="1"/>
    <x v="1"/>
  </r>
  <r>
    <n v="17230"/>
    <x v="0"/>
    <x v="1"/>
    <n v="80000"/>
    <n v="0"/>
    <x v="0"/>
    <s v="Professional"/>
    <s v="Yes"/>
    <n v="3"/>
    <x v="4"/>
    <x v="1"/>
    <n v="30"/>
    <x v="3"/>
    <x v="0"/>
  </r>
  <r>
    <n v="13082"/>
    <x v="1"/>
    <x v="1"/>
    <n v="130000"/>
    <n v="0"/>
    <x v="4"/>
    <s v="Management"/>
    <s v="Yes"/>
    <n v="0"/>
    <x v="1"/>
    <x v="1"/>
    <n v="48"/>
    <x v="2"/>
    <x v="1"/>
  </r>
  <r>
    <n v="22518"/>
    <x v="1"/>
    <x v="0"/>
    <n v="30000"/>
    <n v="3"/>
    <x v="1"/>
    <s v="Clerical"/>
    <s v="No"/>
    <n v="2"/>
    <x v="0"/>
    <x v="0"/>
    <n v="27"/>
    <x v="3"/>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2"/>
    <x v="1"/>
  </r>
  <r>
    <n v="25918"/>
    <x v="1"/>
    <x v="0"/>
    <n v="30000"/>
    <n v="2"/>
    <x v="1"/>
    <s v="Clerical"/>
    <s v="No"/>
    <n v="2"/>
    <x v="2"/>
    <x v="1"/>
    <n v="60"/>
    <x v="1"/>
    <x v="1"/>
  </r>
  <r>
    <n v="25752"/>
    <x v="1"/>
    <x v="0"/>
    <n v="20000"/>
    <n v="2"/>
    <x v="1"/>
    <s v="Manual"/>
    <s v="No"/>
    <n v="1"/>
    <x v="0"/>
    <x v="0"/>
    <n v="53"/>
    <x v="2"/>
    <x v="1"/>
  </r>
  <r>
    <n v="17324"/>
    <x v="0"/>
    <x v="0"/>
    <n v="100000"/>
    <n v="4"/>
    <x v="0"/>
    <s v="Professional"/>
    <s v="Yes"/>
    <n v="1"/>
    <x v="4"/>
    <x v="1"/>
    <n v="46"/>
    <x v="2"/>
    <x v="0"/>
  </r>
  <r>
    <n v="22918"/>
    <x v="1"/>
    <x v="1"/>
    <n v="80000"/>
    <n v="5"/>
    <x v="4"/>
    <s v="Management"/>
    <s v="Yes"/>
    <n v="3"/>
    <x v="0"/>
    <x v="1"/>
    <n v="50"/>
    <x v="2"/>
    <x v="0"/>
  </r>
  <r>
    <n v="12510"/>
    <x v="0"/>
    <x v="1"/>
    <n v="40000"/>
    <n v="1"/>
    <x v="0"/>
    <s v="Skilled Manual"/>
    <s v="Yes"/>
    <n v="1"/>
    <x v="0"/>
    <x v="0"/>
    <n v="43"/>
    <x v="0"/>
    <x v="1"/>
  </r>
  <r>
    <n v="25512"/>
    <x v="1"/>
    <x v="1"/>
    <n v="20000"/>
    <n v="0"/>
    <x v="2"/>
    <s v="Manual"/>
    <s v="No"/>
    <n v="1"/>
    <x v="1"/>
    <x v="0"/>
    <n v="30"/>
    <x v="3"/>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2"/>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3"/>
    <x v="1"/>
  </r>
  <r>
    <n v="22974"/>
    <x v="0"/>
    <x v="0"/>
    <n v="30000"/>
    <n v="2"/>
    <x v="1"/>
    <s v="Clerical"/>
    <s v="Yes"/>
    <n v="2"/>
    <x v="2"/>
    <x v="1"/>
    <n v="69"/>
    <x v="1"/>
    <x v="0"/>
  </r>
  <r>
    <n v="13586"/>
    <x v="0"/>
    <x v="1"/>
    <n v="80000"/>
    <n v="4"/>
    <x v="1"/>
    <s v="Professional"/>
    <s v="Yes"/>
    <n v="2"/>
    <x v="4"/>
    <x v="0"/>
    <n v="53"/>
    <x v="2"/>
    <x v="0"/>
  </r>
  <r>
    <n v="17978"/>
    <x v="0"/>
    <x v="1"/>
    <n v="40000"/>
    <n v="0"/>
    <x v="4"/>
    <s v="Clerical"/>
    <s v="Yes"/>
    <n v="0"/>
    <x v="0"/>
    <x v="0"/>
    <n v="37"/>
    <x v="0"/>
    <x v="1"/>
  </r>
  <r>
    <n v="12581"/>
    <x v="1"/>
    <x v="0"/>
    <n v="10000"/>
    <n v="0"/>
    <x v="1"/>
    <s v="Manual"/>
    <s v="No"/>
    <n v="1"/>
    <x v="0"/>
    <x v="1"/>
    <n v="28"/>
    <x v="3"/>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2"/>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2"/>
    <x v="1"/>
  </r>
  <r>
    <n v="25792"/>
    <x v="1"/>
    <x v="0"/>
    <n v="110000"/>
    <n v="3"/>
    <x v="0"/>
    <s v="Management"/>
    <s v="Yes"/>
    <n v="4"/>
    <x v="4"/>
    <x v="0"/>
    <n v="53"/>
    <x v="2"/>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2"/>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2"/>
    <x v="0"/>
  </r>
  <r>
    <n v="20171"/>
    <x v="0"/>
    <x v="0"/>
    <n v="20000"/>
    <n v="2"/>
    <x v="1"/>
    <s v="Manual"/>
    <s v="Yes"/>
    <n v="1"/>
    <x v="0"/>
    <x v="0"/>
    <n v="46"/>
    <x v="2"/>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2"/>
    <x v="1"/>
  </r>
  <r>
    <n v="18153"/>
    <x v="0"/>
    <x v="0"/>
    <n v="100000"/>
    <n v="2"/>
    <x v="0"/>
    <s v="Management"/>
    <s v="Yes"/>
    <n v="4"/>
    <x v="4"/>
    <x v="0"/>
    <n v="59"/>
    <x v="1"/>
    <x v="0"/>
  </r>
  <r>
    <n v="14547"/>
    <x v="0"/>
    <x v="1"/>
    <n v="10000"/>
    <n v="2"/>
    <x v="1"/>
    <s v="Manual"/>
    <s v="Yes"/>
    <n v="0"/>
    <x v="3"/>
    <x v="0"/>
    <n v="51"/>
    <x v="2"/>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3"/>
    <x v="0"/>
  </r>
  <r>
    <n v="17048"/>
    <x v="1"/>
    <x v="0"/>
    <n v="90000"/>
    <n v="1"/>
    <x v="4"/>
    <s v="Management"/>
    <s v="Yes"/>
    <n v="0"/>
    <x v="0"/>
    <x v="1"/>
    <n v="36"/>
    <x v="0"/>
    <x v="1"/>
  </r>
  <r>
    <n v="22204"/>
    <x v="0"/>
    <x v="1"/>
    <n v="110000"/>
    <n v="4"/>
    <x v="0"/>
    <s v="Management"/>
    <s v="Yes"/>
    <n v="3"/>
    <x v="1"/>
    <x v="1"/>
    <n v="48"/>
    <x v="2"/>
    <x v="0"/>
  </r>
  <r>
    <n v="12718"/>
    <x v="1"/>
    <x v="0"/>
    <n v="30000"/>
    <n v="0"/>
    <x v="1"/>
    <s v="Clerical"/>
    <s v="Yes"/>
    <n v="1"/>
    <x v="1"/>
    <x v="0"/>
    <n v="31"/>
    <x v="0"/>
    <x v="0"/>
  </r>
  <r>
    <n v="15019"/>
    <x v="1"/>
    <x v="0"/>
    <n v="30000"/>
    <n v="3"/>
    <x v="2"/>
    <s v="Skilled Manual"/>
    <s v="Yes"/>
    <n v="2"/>
    <x v="2"/>
    <x v="1"/>
    <n v="55"/>
    <x v="2"/>
    <x v="0"/>
  </r>
  <r>
    <n v="28488"/>
    <x v="1"/>
    <x v="1"/>
    <n v="20000"/>
    <n v="0"/>
    <x v="1"/>
    <s v="Manual"/>
    <s v="Yes"/>
    <n v="0"/>
    <x v="0"/>
    <x v="1"/>
    <n v="28"/>
    <x v="3"/>
    <x v="1"/>
  </r>
  <r>
    <n v="21891"/>
    <x v="0"/>
    <x v="0"/>
    <n v="110000"/>
    <n v="0"/>
    <x v="2"/>
    <s v="Management"/>
    <s v="Yes"/>
    <n v="3"/>
    <x v="4"/>
    <x v="1"/>
    <n v="34"/>
    <x v="0"/>
    <x v="1"/>
  </r>
  <r>
    <n v="27814"/>
    <x v="1"/>
    <x v="0"/>
    <n v="30000"/>
    <n v="3"/>
    <x v="1"/>
    <s v="Clerical"/>
    <s v="No"/>
    <n v="1"/>
    <x v="0"/>
    <x v="0"/>
    <n v="26"/>
    <x v="3"/>
    <x v="0"/>
  </r>
  <r>
    <n v="22175"/>
    <x v="0"/>
    <x v="0"/>
    <n v="30000"/>
    <n v="3"/>
    <x v="2"/>
    <s v="Skilled Manual"/>
    <s v="Yes"/>
    <n v="2"/>
    <x v="2"/>
    <x v="1"/>
    <n v="53"/>
    <x v="2"/>
    <x v="1"/>
  </r>
  <r>
    <n v="29447"/>
    <x v="1"/>
    <x v="0"/>
    <n v="10000"/>
    <n v="2"/>
    <x v="0"/>
    <s v="Clerical"/>
    <s v="No"/>
    <n v="1"/>
    <x v="1"/>
    <x v="0"/>
    <n v="68"/>
    <x v="1"/>
    <x v="0"/>
  </r>
  <r>
    <n v="19784"/>
    <x v="0"/>
    <x v="0"/>
    <n v="80000"/>
    <n v="2"/>
    <x v="2"/>
    <s v="Skilled Manual"/>
    <s v="Yes"/>
    <n v="2"/>
    <x v="2"/>
    <x v="1"/>
    <n v="50"/>
    <x v="2"/>
    <x v="1"/>
  </r>
  <r>
    <n v="27824"/>
    <x v="1"/>
    <x v="0"/>
    <n v="30000"/>
    <n v="3"/>
    <x v="1"/>
    <s v="Clerical"/>
    <s v="Yes"/>
    <n v="2"/>
    <x v="0"/>
    <x v="0"/>
    <n v="28"/>
    <x v="3"/>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2"/>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2"/>
    <x v="0"/>
  </r>
  <r>
    <n v="20711"/>
    <x v="0"/>
    <x v="0"/>
    <n v="40000"/>
    <n v="1"/>
    <x v="0"/>
    <s v="Skilled Manual"/>
    <s v="Yes"/>
    <n v="0"/>
    <x v="3"/>
    <x v="0"/>
    <n v="32"/>
    <x v="0"/>
    <x v="1"/>
  </r>
  <r>
    <n v="11383"/>
    <x v="0"/>
    <x v="0"/>
    <n v="30000"/>
    <n v="3"/>
    <x v="4"/>
    <s v="Clerical"/>
    <s v="Yes"/>
    <n v="0"/>
    <x v="0"/>
    <x v="0"/>
    <n v="46"/>
    <x v="2"/>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2"/>
    <x v="1"/>
  </r>
  <r>
    <n v="26385"/>
    <x v="1"/>
    <x v="1"/>
    <n v="120000"/>
    <n v="3"/>
    <x v="2"/>
    <s v="Professional"/>
    <s v="No"/>
    <n v="4"/>
    <x v="2"/>
    <x v="0"/>
    <n v="50"/>
    <x v="2"/>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2"/>
    <x v="1"/>
  </r>
  <r>
    <n v="14791"/>
    <x v="0"/>
    <x v="0"/>
    <n v="40000"/>
    <n v="0"/>
    <x v="0"/>
    <s v="Clerical"/>
    <s v="Yes"/>
    <n v="0"/>
    <x v="0"/>
    <x v="0"/>
    <n v="39"/>
    <x v="0"/>
    <x v="1"/>
  </r>
  <r>
    <n v="19331"/>
    <x v="1"/>
    <x v="1"/>
    <n v="20000"/>
    <n v="2"/>
    <x v="2"/>
    <s v="Manual"/>
    <s v="Yes"/>
    <n v="1"/>
    <x v="0"/>
    <x v="0"/>
    <n v="40"/>
    <x v="0"/>
    <x v="0"/>
  </r>
  <r>
    <n v="17754"/>
    <x v="1"/>
    <x v="0"/>
    <n v="30000"/>
    <n v="3"/>
    <x v="0"/>
    <s v="Clerical"/>
    <s v="Yes"/>
    <n v="0"/>
    <x v="0"/>
    <x v="0"/>
    <n v="46"/>
    <x v="2"/>
    <x v="1"/>
  </r>
  <r>
    <n v="11149"/>
    <x v="0"/>
    <x v="1"/>
    <n v="40000"/>
    <n v="2"/>
    <x v="0"/>
    <s v="Management"/>
    <s v="Yes"/>
    <n v="2"/>
    <x v="0"/>
    <x v="1"/>
    <n v="65"/>
    <x v="1"/>
    <x v="0"/>
  </r>
  <r>
    <n v="16549"/>
    <x v="1"/>
    <x v="0"/>
    <n v="30000"/>
    <n v="3"/>
    <x v="0"/>
    <s v="Clerical"/>
    <s v="Yes"/>
    <n v="0"/>
    <x v="0"/>
    <x v="0"/>
    <n v="47"/>
    <x v="2"/>
    <x v="1"/>
  </r>
  <r>
    <n v="24305"/>
    <x v="1"/>
    <x v="1"/>
    <n v="100000"/>
    <n v="1"/>
    <x v="0"/>
    <s v="Management"/>
    <s v="No"/>
    <n v="3"/>
    <x v="0"/>
    <x v="1"/>
    <n v="46"/>
    <x v="2"/>
    <x v="1"/>
  </r>
  <r>
    <n v="18253"/>
    <x v="0"/>
    <x v="0"/>
    <n v="80000"/>
    <n v="5"/>
    <x v="4"/>
    <s v="Management"/>
    <s v="Yes"/>
    <n v="3"/>
    <x v="0"/>
    <x v="1"/>
    <n v="40"/>
    <x v="0"/>
    <x v="0"/>
  </r>
  <r>
    <n v="20147"/>
    <x v="0"/>
    <x v="0"/>
    <n v="30000"/>
    <n v="1"/>
    <x v="0"/>
    <s v="Clerical"/>
    <s v="Yes"/>
    <n v="0"/>
    <x v="0"/>
    <x v="0"/>
    <n v="65"/>
    <x v="1"/>
    <x v="0"/>
  </r>
  <r>
    <n v="15612"/>
    <x v="1"/>
    <x v="1"/>
    <n v="30000"/>
    <n v="0"/>
    <x v="2"/>
    <s v="Manual"/>
    <s v="No"/>
    <n v="1"/>
    <x v="3"/>
    <x v="0"/>
    <n v="28"/>
    <x v="3"/>
    <x v="0"/>
  </r>
  <r>
    <n v="28323"/>
    <x v="1"/>
    <x v="1"/>
    <n v="70000"/>
    <n v="0"/>
    <x v="0"/>
    <s v="Professional"/>
    <s v="No"/>
    <n v="2"/>
    <x v="2"/>
    <x v="1"/>
    <n v="43"/>
    <x v="0"/>
    <x v="1"/>
  </r>
  <r>
    <n v="22634"/>
    <x v="1"/>
    <x v="0"/>
    <n v="40000"/>
    <n v="0"/>
    <x v="4"/>
    <s v="Clerical"/>
    <s v="Yes"/>
    <n v="0"/>
    <x v="0"/>
    <x v="0"/>
    <n v="38"/>
    <x v="0"/>
    <x v="1"/>
  </r>
  <r>
    <n v="15665"/>
    <x v="0"/>
    <x v="0"/>
    <n v="30000"/>
    <n v="0"/>
    <x v="0"/>
    <s v="Clerical"/>
    <s v="Yes"/>
    <n v="0"/>
    <x v="0"/>
    <x v="0"/>
    <n v="47"/>
    <x v="2"/>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2"/>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2"/>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2"/>
    <x v="0"/>
  </r>
  <r>
    <n v="25065"/>
    <x v="0"/>
    <x v="1"/>
    <n v="70000"/>
    <n v="2"/>
    <x v="3"/>
    <s v="Skilled Manual"/>
    <s v="Yes"/>
    <n v="2"/>
    <x v="2"/>
    <x v="2"/>
    <n v="48"/>
    <x v="2"/>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2"/>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2"/>
    <x v="1"/>
  </r>
  <r>
    <n v="26575"/>
    <x v="1"/>
    <x v="0"/>
    <n v="40000"/>
    <n v="0"/>
    <x v="2"/>
    <s v="Skilled Manual"/>
    <s v="No"/>
    <n v="2"/>
    <x v="3"/>
    <x v="2"/>
    <n v="31"/>
    <x v="0"/>
    <x v="1"/>
  </r>
  <r>
    <n v="15559"/>
    <x v="0"/>
    <x v="1"/>
    <n v="60000"/>
    <n v="5"/>
    <x v="0"/>
    <s v="Professional"/>
    <s v="Yes"/>
    <n v="1"/>
    <x v="1"/>
    <x v="2"/>
    <n v="47"/>
    <x v="2"/>
    <x v="0"/>
  </r>
  <r>
    <n v="19235"/>
    <x v="0"/>
    <x v="0"/>
    <n v="50000"/>
    <n v="0"/>
    <x v="4"/>
    <s v="Skilled Manual"/>
    <s v="Yes"/>
    <n v="0"/>
    <x v="0"/>
    <x v="2"/>
    <n v="34"/>
    <x v="0"/>
    <x v="0"/>
  </r>
  <r>
    <n v="15275"/>
    <x v="0"/>
    <x v="1"/>
    <n v="40000"/>
    <n v="0"/>
    <x v="1"/>
    <s v="Skilled Manual"/>
    <s v="Yes"/>
    <n v="1"/>
    <x v="2"/>
    <x v="2"/>
    <n v="29"/>
    <x v="3"/>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2"/>
    <x v="1"/>
  </r>
  <r>
    <n v="16337"/>
    <x v="0"/>
    <x v="1"/>
    <n v="60000"/>
    <n v="0"/>
    <x v="1"/>
    <s v="Skilled Manual"/>
    <s v="No"/>
    <n v="2"/>
    <x v="3"/>
    <x v="2"/>
    <n v="29"/>
    <x v="3"/>
    <x v="0"/>
  </r>
  <r>
    <n v="24357"/>
    <x v="0"/>
    <x v="1"/>
    <n v="80000"/>
    <n v="3"/>
    <x v="0"/>
    <s v="Professional"/>
    <s v="Yes"/>
    <n v="1"/>
    <x v="1"/>
    <x v="2"/>
    <n v="48"/>
    <x v="2"/>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2"/>
    <x v="0"/>
  </r>
  <r>
    <n v="22219"/>
    <x v="0"/>
    <x v="0"/>
    <n v="60000"/>
    <n v="2"/>
    <x v="2"/>
    <s v="Professional"/>
    <s v="Yes"/>
    <n v="2"/>
    <x v="2"/>
    <x v="2"/>
    <n v="49"/>
    <x v="2"/>
    <x v="0"/>
  </r>
  <r>
    <n v="17269"/>
    <x v="1"/>
    <x v="1"/>
    <n v="60000"/>
    <n v="3"/>
    <x v="0"/>
    <s v="Professional"/>
    <s v="No"/>
    <n v="0"/>
    <x v="0"/>
    <x v="2"/>
    <n v="47"/>
    <x v="2"/>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2"/>
    <x v="1"/>
  </r>
  <r>
    <n v="13283"/>
    <x v="0"/>
    <x v="1"/>
    <n v="80000"/>
    <n v="3"/>
    <x v="1"/>
    <s v="Professional"/>
    <s v="No"/>
    <n v="2"/>
    <x v="0"/>
    <x v="2"/>
    <n v="49"/>
    <x v="2"/>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3"/>
    <x v="0"/>
  </r>
  <r>
    <n v="13233"/>
    <x v="0"/>
    <x v="1"/>
    <n v="60000"/>
    <n v="2"/>
    <x v="1"/>
    <s v="Professional"/>
    <s v="Yes"/>
    <n v="1"/>
    <x v="4"/>
    <x v="2"/>
    <n v="57"/>
    <x v="1"/>
    <x v="1"/>
  </r>
  <r>
    <n v="25909"/>
    <x v="0"/>
    <x v="1"/>
    <n v="60000"/>
    <n v="0"/>
    <x v="1"/>
    <s v="Skilled Manual"/>
    <s v="Yes"/>
    <n v="1"/>
    <x v="2"/>
    <x v="2"/>
    <n v="27"/>
    <x v="3"/>
    <x v="1"/>
  </r>
  <r>
    <n v="14092"/>
    <x v="1"/>
    <x v="1"/>
    <n v="30000"/>
    <n v="0"/>
    <x v="3"/>
    <s v="Clerical"/>
    <s v="Yes"/>
    <n v="2"/>
    <x v="2"/>
    <x v="2"/>
    <n v="28"/>
    <x v="3"/>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2"/>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2"/>
    <x v="0"/>
  </r>
  <r>
    <n v="25375"/>
    <x v="0"/>
    <x v="1"/>
    <n v="50000"/>
    <n v="1"/>
    <x v="4"/>
    <s v="Skilled Manual"/>
    <s v="Yes"/>
    <n v="0"/>
    <x v="3"/>
    <x v="2"/>
    <n v="34"/>
    <x v="0"/>
    <x v="0"/>
  </r>
  <r>
    <n v="11143"/>
    <x v="0"/>
    <x v="1"/>
    <n v="40000"/>
    <n v="0"/>
    <x v="2"/>
    <s v="Skilled Manual"/>
    <s v="Yes"/>
    <n v="2"/>
    <x v="2"/>
    <x v="2"/>
    <n v="29"/>
    <x v="3"/>
    <x v="0"/>
  </r>
  <r>
    <n v="25898"/>
    <x v="0"/>
    <x v="0"/>
    <n v="70000"/>
    <n v="2"/>
    <x v="2"/>
    <s v="Professional"/>
    <s v="Yes"/>
    <n v="2"/>
    <x v="1"/>
    <x v="2"/>
    <n v="53"/>
    <x v="2"/>
    <x v="0"/>
  </r>
  <r>
    <n v="24397"/>
    <x v="1"/>
    <x v="1"/>
    <n v="120000"/>
    <n v="2"/>
    <x v="0"/>
    <s v="Management"/>
    <s v="No"/>
    <n v="4"/>
    <x v="3"/>
    <x v="2"/>
    <n v="40"/>
    <x v="0"/>
    <x v="0"/>
  </r>
  <r>
    <n v="19758"/>
    <x v="1"/>
    <x v="1"/>
    <n v="60000"/>
    <n v="0"/>
    <x v="1"/>
    <s v="Skilled Manual"/>
    <s v="No"/>
    <n v="2"/>
    <x v="3"/>
    <x v="2"/>
    <n v="29"/>
    <x v="3"/>
    <x v="0"/>
  </r>
  <r>
    <n v="15529"/>
    <x v="0"/>
    <x v="1"/>
    <n v="60000"/>
    <n v="4"/>
    <x v="0"/>
    <s v="Professional"/>
    <s v="Yes"/>
    <n v="2"/>
    <x v="1"/>
    <x v="2"/>
    <n v="43"/>
    <x v="0"/>
    <x v="1"/>
  </r>
  <r>
    <n v="19884"/>
    <x v="0"/>
    <x v="1"/>
    <n v="60000"/>
    <n v="2"/>
    <x v="2"/>
    <s v="Professional"/>
    <s v="Yes"/>
    <n v="2"/>
    <x v="1"/>
    <x v="2"/>
    <n v="55"/>
    <x v="2"/>
    <x v="1"/>
  </r>
  <r>
    <n v="18674"/>
    <x v="1"/>
    <x v="0"/>
    <n v="80000"/>
    <n v="4"/>
    <x v="4"/>
    <s v="Skilled Manual"/>
    <s v="No"/>
    <n v="0"/>
    <x v="0"/>
    <x v="2"/>
    <n v="48"/>
    <x v="2"/>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2"/>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2"/>
    <x v="0"/>
  </r>
  <r>
    <n v="18560"/>
    <x v="0"/>
    <x v="0"/>
    <n v="70000"/>
    <n v="2"/>
    <x v="4"/>
    <s v="Professional"/>
    <s v="Yes"/>
    <n v="0"/>
    <x v="1"/>
    <x v="2"/>
    <n v="34"/>
    <x v="0"/>
    <x v="1"/>
  </r>
  <r>
    <n v="25006"/>
    <x v="1"/>
    <x v="0"/>
    <n v="30000"/>
    <n v="0"/>
    <x v="1"/>
    <s v="Skilled Manual"/>
    <s v="Yes"/>
    <n v="1"/>
    <x v="2"/>
    <x v="2"/>
    <n v="28"/>
    <x v="3"/>
    <x v="0"/>
  </r>
  <r>
    <n v="17369"/>
    <x v="1"/>
    <x v="1"/>
    <n v="30000"/>
    <n v="0"/>
    <x v="1"/>
    <s v="Skilled Manual"/>
    <s v="Yes"/>
    <n v="1"/>
    <x v="2"/>
    <x v="2"/>
    <n v="27"/>
    <x v="3"/>
    <x v="0"/>
  </r>
  <r>
    <n v="14495"/>
    <x v="0"/>
    <x v="1"/>
    <n v="40000"/>
    <n v="3"/>
    <x v="1"/>
    <s v="Professional"/>
    <s v="No"/>
    <n v="2"/>
    <x v="2"/>
    <x v="2"/>
    <n v="54"/>
    <x v="2"/>
    <x v="1"/>
  </r>
  <r>
    <n v="18847"/>
    <x v="0"/>
    <x v="0"/>
    <n v="60000"/>
    <n v="2"/>
    <x v="4"/>
    <s v="Management"/>
    <s v="Yes"/>
    <n v="2"/>
    <x v="2"/>
    <x v="2"/>
    <n v="70"/>
    <x v="1"/>
    <x v="0"/>
  </r>
  <r>
    <n v="14754"/>
    <x v="0"/>
    <x v="1"/>
    <n v="40000"/>
    <n v="1"/>
    <x v="1"/>
    <s v="Clerical"/>
    <s v="Yes"/>
    <n v="1"/>
    <x v="3"/>
    <x v="2"/>
    <n v="48"/>
    <x v="2"/>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2"/>
    <x v="0"/>
  </r>
  <r>
    <n v="20528"/>
    <x v="0"/>
    <x v="1"/>
    <n v="40000"/>
    <n v="2"/>
    <x v="3"/>
    <s v="Skilled Manual"/>
    <s v="Yes"/>
    <n v="2"/>
    <x v="1"/>
    <x v="2"/>
    <n v="55"/>
    <x v="2"/>
    <x v="0"/>
  </r>
  <r>
    <n v="23549"/>
    <x v="1"/>
    <x v="1"/>
    <n v="30000"/>
    <n v="0"/>
    <x v="2"/>
    <s v="Skilled Manual"/>
    <s v="Yes"/>
    <n v="2"/>
    <x v="2"/>
    <x v="2"/>
    <n v="30"/>
    <x v="3"/>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3"/>
    <x v="0"/>
  </r>
  <r>
    <n v="13749"/>
    <x v="0"/>
    <x v="1"/>
    <n v="80000"/>
    <n v="4"/>
    <x v="4"/>
    <s v="Skilled Manual"/>
    <s v="Yes"/>
    <n v="0"/>
    <x v="3"/>
    <x v="2"/>
    <n v="47"/>
    <x v="2"/>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2"/>
    <x v="0"/>
  </r>
  <r>
    <n v="18935"/>
    <x v="0"/>
    <x v="0"/>
    <n v="130000"/>
    <n v="0"/>
    <x v="4"/>
    <s v="Management"/>
    <s v="Yes"/>
    <n v="3"/>
    <x v="3"/>
    <x v="2"/>
    <n v="40"/>
    <x v="0"/>
    <x v="0"/>
  </r>
  <r>
    <n v="16871"/>
    <x v="0"/>
    <x v="0"/>
    <n v="90000"/>
    <n v="2"/>
    <x v="2"/>
    <s v="Professional"/>
    <s v="Yes"/>
    <n v="1"/>
    <x v="4"/>
    <x v="2"/>
    <n v="51"/>
    <x v="2"/>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2"/>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2"/>
    <x v="0"/>
  </r>
  <r>
    <n v="29231"/>
    <x v="1"/>
    <x v="1"/>
    <n v="80000"/>
    <n v="4"/>
    <x v="1"/>
    <s v="Professional"/>
    <s v="No"/>
    <n v="2"/>
    <x v="0"/>
    <x v="2"/>
    <n v="43"/>
    <x v="0"/>
    <x v="0"/>
  </r>
  <r>
    <n v="18858"/>
    <x v="1"/>
    <x v="1"/>
    <n v="60000"/>
    <n v="2"/>
    <x v="3"/>
    <s v="Skilled Manual"/>
    <s v="Yes"/>
    <n v="2"/>
    <x v="2"/>
    <x v="2"/>
    <n v="52"/>
    <x v="2"/>
    <x v="1"/>
  </r>
  <r>
    <n v="20000"/>
    <x v="0"/>
    <x v="1"/>
    <n v="60000"/>
    <n v="1"/>
    <x v="4"/>
    <s v="Professional"/>
    <s v="Yes"/>
    <n v="0"/>
    <x v="0"/>
    <x v="2"/>
    <n v="35"/>
    <x v="0"/>
    <x v="1"/>
  </r>
  <r>
    <n v="25261"/>
    <x v="0"/>
    <x v="1"/>
    <n v="40000"/>
    <n v="0"/>
    <x v="2"/>
    <s v="Skilled Manual"/>
    <s v="Yes"/>
    <n v="2"/>
    <x v="2"/>
    <x v="2"/>
    <n v="27"/>
    <x v="3"/>
    <x v="0"/>
  </r>
  <r>
    <n v="17458"/>
    <x v="1"/>
    <x v="1"/>
    <n v="70000"/>
    <n v="3"/>
    <x v="2"/>
    <s v="Professional"/>
    <s v="Yes"/>
    <n v="0"/>
    <x v="2"/>
    <x v="2"/>
    <n v="52"/>
    <x v="2"/>
    <x v="1"/>
  </r>
  <r>
    <n v="11644"/>
    <x v="1"/>
    <x v="1"/>
    <n v="40000"/>
    <n v="2"/>
    <x v="0"/>
    <s v="Skilled Manual"/>
    <s v="Yes"/>
    <n v="0"/>
    <x v="1"/>
    <x v="2"/>
    <n v="36"/>
    <x v="0"/>
    <x v="0"/>
  </r>
  <r>
    <n v="16145"/>
    <x v="1"/>
    <x v="0"/>
    <n v="70000"/>
    <n v="5"/>
    <x v="4"/>
    <s v="Professional"/>
    <s v="Yes"/>
    <n v="3"/>
    <x v="4"/>
    <x v="2"/>
    <n v="46"/>
    <x v="2"/>
    <x v="1"/>
  </r>
  <r>
    <n v="16890"/>
    <x v="0"/>
    <x v="1"/>
    <n v="60000"/>
    <n v="3"/>
    <x v="3"/>
    <s v="Skilled Manual"/>
    <s v="Yes"/>
    <n v="2"/>
    <x v="2"/>
    <x v="2"/>
    <n v="52"/>
    <x v="2"/>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3"/>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2"/>
    <x v="1"/>
  </r>
  <r>
    <n v="16245"/>
    <x v="1"/>
    <x v="0"/>
    <n v="80000"/>
    <n v="4"/>
    <x v="4"/>
    <s v="Skilled Manual"/>
    <s v="Yes"/>
    <n v="0"/>
    <x v="3"/>
    <x v="2"/>
    <n v="47"/>
    <x v="2"/>
    <x v="0"/>
  </r>
  <r>
    <n v="17858"/>
    <x v="0"/>
    <x v="1"/>
    <n v="40000"/>
    <n v="4"/>
    <x v="2"/>
    <s v="Skilled Manual"/>
    <s v="Yes"/>
    <n v="2"/>
    <x v="1"/>
    <x v="2"/>
    <n v="44"/>
    <x v="0"/>
    <x v="1"/>
  </r>
  <r>
    <n v="25347"/>
    <x v="1"/>
    <x v="0"/>
    <n v="20000"/>
    <n v="3"/>
    <x v="3"/>
    <s v="Clerical"/>
    <s v="No"/>
    <n v="2"/>
    <x v="0"/>
    <x v="2"/>
    <n v="49"/>
    <x v="2"/>
    <x v="0"/>
  </r>
  <r>
    <n v="15814"/>
    <x v="1"/>
    <x v="0"/>
    <n v="40000"/>
    <n v="0"/>
    <x v="2"/>
    <s v="Skilled Manual"/>
    <s v="Yes"/>
    <n v="1"/>
    <x v="2"/>
    <x v="2"/>
    <n v="30"/>
    <x v="3"/>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2"/>
    <x v="0"/>
  </r>
  <r>
    <n v="21801"/>
    <x v="0"/>
    <x v="0"/>
    <n v="70000"/>
    <n v="4"/>
    <x v="1"/>
    <s v="Professional"/>
    <s v="Yes"/>
    <n v="1"/>
    <x v="3"/>
    <x v="2"/>
    <n v="55"/>
    <x v="2"/>
    <x v="0"/>
  </r>
  <r>
    <n v="25943"/>
    <x v="1"/>
    <x v="0"/>
    <n v="70000"/>
    <n v="0"/>
    <x v="1"/>
    <s v="Skilled Manual"/>
    <s v="No"/>
    <n v="2"/>
    <x v="0"/>
    <x v="2"/>
    <n v="27"/>
    <x v="3"/>
    <x v="1"/>
  </r>
  <r>
    <n v="22127"/>
    <x v="0"/>
    <x v="1"/>
    <n v="60000"/>
    <n v="3"/>
    <x v="4"/>
    <s v="Management"/>
    <s v="Yes"/>
    <n v="2"/>
    <x v="3"/>
    <x v="2"/>
    <n v="67"/>
    <x v="1"/>
    <x v="0"/>
  </r>
  <r>
    <n v="20414"/>
    <x v="0"/>
    <x v="0"/>
    <n v="60000"/>
    <n v="0"/>
    <x v="1"/>
    <s v="Skilled Manual"/>
    <s v="Yes"/>
    <n v="2"/>
    <x v="2"/>
    <x v="2"/>
    <n v="29"/>
    <x v="3"/>
    <x v="0"/>
  </r>
  <r>
    <n v="23672"/>
    <x v="0"/>
    <x v="0"/>
    <n v="60000"/>
    <n v="3"/>
    <x v="4"/>
    <s v="Management"/>
    <s v="Yes"/>
    <n v="2"/>
    <x v="3"/>
    <x v="2"/>
    <n v="67"/>
    <x v="1"/>
    <x v="0"/>
  </r>
  <r>
    <n v="29255"/>
    <x v="1"/>
    <x v="1"/>
    <n v="80000"/>
    <n v="3"/>
    <x v="1"/>
    <s v="Professional"/>
    <s v="No"/>
    <n v="1"/>
    <x v="3"/>
    <x v="2"/>
    <n v="51"/>
    <x v="2"/>
    <x v="1"/>
  </r>
  <r>
    <n v="28815"/>
    <x v="0"/>
    <x v="0"/>
    <n v="50000"/>
    <n v="1"/>
    <x v="4"/>
    <s v="Skilled Manual"/>
    <s v="Yes"/>
    <n v="0"/>
    <x v="0"/>
    <x v="2"/>
    <n v="35"/>
    <x v="0"/>
    <x v="0"/>
  </r>
  <r>
    <n v="27753"/>
    <x v="0"/>
    <x v="1"/>
    <n v="40000"/>
    <n v="0"/>
    <x v="2"/>
    <s v="Skilled Manual"/>
    <s v="No"/>
    <n v="2"/>
    <x v="3"/>
    <x v="2"/>
    <n v="30"/>
    <x v="3"/>
    <x v="0"/>
  </r>
  <r>
    <n v="27643"/>
    <x v="1"/>
    <x v="1"/>
    <n v="70000"/>
    <n v="5"/>
    <x v="1"/>
    <s v="Professional"/>
    <s v="Yes"/>
    <n v="3"/>
    <x v="1"/>
    <x v="2"/>
    <n v="44"/>
    <x v="0"/>
    <x v="0"/>
  </r>
  <r>
    <n v="13754"/>
    <x v="1"/>
    <x v="0"/>
    <n v="80000"/>
    <n v="4"/>
    <x v="4"/>
    <s v="Skilled Manual"/>
    <s v="Yes"/>
    <n v="0"/>
    <x v="3"/>
    <x v="2"/>
    <n v="48"/>
    <x v="2"/>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2"/>
    <x v="0"/>
  </r>
  <r>
    <n v="29237"/>
    <x v="1"/>
    <x v="0"/>
    <n v="120000"/>
    <n v="4"/>
    <x v="1"/>
    <s v="Professional"/>
    <s v="Yes"/>
    <n v="3"/>
    <x v="2"/>
    <x v="2"/>
    <n v="43"/>
    <x v="0"/>
    <x v="1"/>
  </r>
  <r>
    <n v="15272"/>
    <x v="1"/>
    <x v="1"/>
    <n v="40000"/>
    <n v="0"/>
    <x v="2"/>
    <s v="Skilled Manual"/>
    <s v="No"/>
    <n v="2"/>
    <x v="3"/>
    <x v="2"/>
    <n v="30"/>
    <x v="3"/>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2"/>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2"/>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2"/>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3"/>
    <x v="1"/>
  </r>
  <r>
    <n v="27637"/>
    <x v="1"/>
    <x v="0"/>
    <n v="100000"/>
    <n v="1"/>
    <x v="1"/>
    <s v="Professional"/>
    <s v="No"/>
    <n v="3"/>
    <x v="3"/>
    <x v="2"/>
    <n v="44"/>
    <x v="0"/>
    <x v="0"/>
  </r>
  <r>
    <n v="11890"/>
    <x v="0"/>
    <x v="0"/>
    <n v="70000"/>
    <n v="5"/>
    <x v="4"/>
    <s v="Professional"/>
    <s v="Yes"/>
    <n v="1"/>
    <x v="0"/>
    <x v="2"/>
    <n v="47"/>
    <x v="2"/>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2"/>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2"/>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3"/>
    <x v="0"/>
  </r>
  <r>
    <n v="11817"/>
    <x v="1"/>
    <x v="0"/>
    <n v="70000"/>
    <n v="4"/>
    <x v="4"/>
    <s v="Professional"/>
    <s v="Yes"/>
    <n v="0"/>
    <x v="1"/>
    <x v="2"/>
    <n v="35"/>
    <x v="0"/>
    <x v="1"/>
  </r>
  <r>
    <n v="19223"/>
    <x v="0"/>
    <x v="0"/>
    <n v="30000"/>
    <n v="2"/>
    <x v="2"/>
    <s v="Skilled Manual"/>
    <s v="Yes"/>
    <n v="2"/>
    <x v="3"/>
    <x v="2"/>
    <n v="48"/>
    <x v="2"/>
    <x v="0"/>
  </r>
  <r>
    <n v="18517"/>
    <x v="0"/>
    <x v="1"/>
    <n v="100000"/>
    <n v="3"/>
    <x v="0"/>
    <s v="Management"/>
    <s v="Yes"/>
    <n v="4"/>
    <x v="0"/>
    <x v="2"/>
    <n v="41"/>
    <x v="0"/>
    <x v="0"/>
  </r>
  <r>
    <n v="21717"/>
    <x v="0"/>
    <x v="1"/>
    <n v="40000"/>
    <n v="2"/>
    <x v="1"/>
    <s v="Clerical"/>
    <s v="Yes"/>
    <n v="1"/>
    <x v="0"/>
    <x v="2"/>
    <n v="47"/>
    <x v="2"/>
    <x v="0"/>
  </r>
  <r>
    <n v="13760"/>
    <x v="0"/>
    <x v="1"/>
    <n v="60000"/>
    <n v="4"/>
    <x v="4"/>
    <s v="Skilled Manual"/>
    <s v="No"/>
    <n v="0"/>
    <x v="0"/>
    <x v="2"/>
    <n v="47"/>
    <x v="2"/>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2"/>
    <x v="0"/>
  </r>
  <r>
    <n v="26248"/>
    <x v="0"/>
    <x v="1"/>
    <n v="20000"/>
    <n v="3"/>
    <x v="3"/>
    <s v="Clerical"/>
    <s v="No"/>
    <n v="2"/>
    <x v="0"/>
    <x v="2"/>
    <n v="52"/>
    <x v="2"/>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2"/>
    <x v="1"/>
  </r>
  <r>
    <n v="12774"/>
    <x v="0"/>
    <x v="0"/>
    <n v="40000"/>
    <n v="1"/>
    <x v="1"/>
    <s v="Clerical"/>
    <s v="Yes"/>
    <n v="1"/>
    <x v="3"/>
    <x v="2"/>
    <n v="51"/>
    <x v="2"/>
    <x v="1"/>
  </r>
  <r>
    <n v="18910"/>
    <x v="1"/>
    <x v="1"/>
    <n v="30000"/>
    <n v="0"/>
    <x v="1"/>
    <s v="Skilled Manual"/>
    <s v="Yes"/>
    <n v="2"/>
    <x v="2"/>
    <x v="2"/>
    <n v="30"/>
    <x v="3"/>
    <x v="0"/>
  </r>
  <r>
    <n v="11699"/>
    <x v="1"/>
    <x v="1"/>
    <n v="60000"/>
    <n v="0"/>
    <x v="0"/>
    <s v="Skilled Manual"/>
    <s v="No"/>
    <n v="2"/>
    <x v="0"/>
    <x v="2"/>
    <n v="30"/>
    <x v="3"/>
    <x v="0"/>
  </r>
  <r>
    <n v="16725"/>
    <x v="0"/>
    <x v="1"/>
    <n v="30000"/>
    <n v="0"/>
    <x v="2"/>
    <s v="Skilled Manual"/>
    <s v="Yes"/>
    <n v="2"/>
    <x v="2"/>
    <x v="2"/>
    <n v="26"/>
    <x v="3"/>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3"/>
    <x v="0"/>
  </r>
  <r>
    <n v="14090"/>
    <x v="0"/>
    <x v="0"/>
    <n v="30000"/>
    <n v="0"/>
    <x v="3"/>
    <s v="Clerical"/>
    <s v="No"/>
    <n v="2"/>
    <x v="0"/>
    <x v="2"/>
    <n v="28"/>
    <x v="3"/>
    <x v="0"/>
  </r>
  <r>
    <n v="27040"/>
    <x v="0"/>
    <x v="1"/>
    <n v="20000"/>
    <n v="2"/>
    <x v="3"/>
    <s v="Clerical"/>
    <s v="Yes"/>
    <n v="2"/>
    <x v="3"/>
    <x v="2"/>
    <n v="49"/>
    <x v="2"/>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3"/>
    <x v="0"/>
  </r>
  <r>
    <n v="13314"/>
    <x v="0"/>
    <x v="1"/>
    <n v="120000"/>
    <n v="1"/>
    <x v="2"/>
    <s v="Professional"/>
    <s v="Yes"/>
    <n v="4"/>
    <x v="2"/>
    <x v="2"/>
    <n v="46"/>
    <x v="2"/>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3"/>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2"/>
    <x v="0"/>
  </r>
  <r>
    <n v="26678"/>
    <x v="1"/>
    <x v="0"/>
    <n v="80000"/>
    <n v="2"/>
    <x v="3"/>
    <s v="Skilled Manual"/>
    <s v="Yes"/>
    <n v="2"/>
    <x v="2"/>
    <x v="2"/>
    <n v="49"/>
    <x v="2"/>
    <x v="0"/>
  </r>
  <r>
    <n v="23275"/>
    <x v="0"/>
    <x v="1"/>
    <n v="30000"/>
    <n v="2"/>
    <x v="2"/>
    <s v="Skilled Manual"/>
    <s v="Yes"/>
    <n v="2"/>
    <x v="3"/>
    <x v="2"/>
    <n v="49"/>
    <x v="2"/>
    <x v="0"/>
  </r>
  <r>
    <n v="11270"/>
    <x v="0"/>
    <x v="1"/>
    <n v="130000"/>
    <n v="2"/>
    <x v="4"/>
    <s v="Management"/>
    <s v="Yes"/>
    <n v="3"/>
    <x v="0"/>
    <x v="2"/>
    <n v="42"/>
    <x v="0"/>
    <x v="1"/>
  </r>
  <r>
    <n v="20084"/>
    <x v="0"/>
    <x v="1"/>
    <n v="20000"/>
    <n v="2"/>
    <x v="2"/>
    <s v="Manual"/>
    <s v="No"/>
    <n v="2"/>
    <x v="0"/>
    <x v="2"/>
    <n v="53"/>
    <x v="2"/>
    <x v="0"/>
  </r>
  <r>
    <n v="16144"/>
    <x v="0"/>
    <x v="1"/>
    <n v="70000"/>
    <n v="1"/>
    <x v="4"/>
    <s v="Professional"/>
    <s v="Yes"/>
    <n v="1"/>
    <x v="0"/>
    <x v="2"/>
    <n v="46"/>
    <x v="2"/>
    <x v="1"/>
  </r>
  <r>
    <n v="27731"/>
    <x v="0"/>
    <x v="1"/>
    <n v="40000"/>
    <n v="0"/>
    <x v="2"/>
    <s v="Skilled Manual"/>
    <s v="Yes"/>
    <n v="2"/>
    <x v="2"/>
    <x v="2"/>
    <n v="27"/>
    <x v="3"/>
    <x v="0"/>
  </r>
  <r>
    <n v="11886"/>
    <x v="0"/>
    <x v="0"/>
    <n v="60000"/>
    <n v="3"/>
    <x v="0"/>
    <s v="Professional"/>
    <s v="Yes"/>
    <n v="1"/>
    <x v="0"/>
    <x v="2"/>
    <n v="48"/>
    <x v="2"/>
    <x v="1"/>
  </r>
  <r>
    <n v="24324"/>
    <x v="1"/>
    <x v="0"/>
    <n v="60000"/>
    <n v="4"/>
    <x v="0"/>
    <s v="Skilled Manual"/>
    <s v="Yes"/>
    <n v="2"/>
    <x v="1"/>
    <x v="2"/>
    <n v="41"/>
    <x v="0"/>
    <x v="1"/>
  </r>
  <r>
    <n v="22220"/>
    <x v="0"/>
    <x v="1"/>
    <n v="60000"/>
    <n v="2"/>
    <x v="2"/>
    <s v="Professional"/>
    <s v="No"/>
    <n v="2"/>
    <x v="3"/>
    <x v="2"/>
    <n v="49"/>
    <x v="2"/>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3"/>
    <x v="0"/>
  </r>
  <r>
    <n v="19634"/>
    <x v="0"/>
    <x v="1"/>
    <n v="40000"/>
    <n v="0"/>
    <x v="2"/>
    <s v="Skilled Manual"/>
    <s v="Yes"/>
    <n v="1"/>
    <x v="2"/>
    <x v="2"/>
    <n v="31"/>
    <x v="0"/>
    <x v="0"/>
  </r>
  <r>
    <n v="18504"/>
    <x v="0"/>
    <x v="1"/>
    <n v="70000"/>
    <n v="2"/>
    <x v="3"/>
    <s v="Skilled Manual"/>
    <s v="No"/>
    <n v="2"/>
    <x v="3"/>
    <x v="2"/>
    <n v="49"/>
    <x v="2"/>
    <x v="0"/>
  </r>
  <r>
    <n v="28799"/>
    <x v="1"/>
    <x v="0"/>
    <n v="40000"/>
    <n v="2"/>
    <x v="1"/>
    <s v="Clerical"/>
    <s v="No"/>
    <n v="1"/>
    <x v="3"/>
    <x v="2"/>
    <n v="47"/>
    <x v="2"/>
    <x v="1"/>
  </r>
  <r>
    <n v="11225"/>
    <x v="0"/>
    <x v="0"/>
    <n v="60000"/>
    <n v="2"/>
    <x v="1"/>
    <s v="Professional"/>
    <s v="Yes"/>
    <n v="1"/>
    <x v="4"/>
    <x v="2"/>
    <n v="55"/>
    <x v="2"/>
    <x v="0"/>
  </r>
  <r>
    <n v="17657"/>
    <x v="0"/>
    <x v="1"/>
    <n v="40000"/>
    <n v="4"/>
    <x v="1"/>
    <s v="Clerical"/>
    <s v="No"/>
    <n v="0"/>
    <x v="0"/>
    <x v="2"/>
    <n v="30"/>
    <x v="3"/>
    <x v="0"/>
  </r>
  <r>
    <n v="14913"/>
    <x v="0"/>
    <x v="0"/>
    <n v="40000"/>
    <n v="1"/>
    <x v="1"/>
    <s v="Clerical"/>
    <s v="Yes"/>
    <n v="1"/>
    <x v="3"/>
    <x v="2"/>
    <n v="48"/>
    <x v="2"/>
    <x v="1"/>
  </r>
  <r>
    <n v="14077"/>
    <x v="1"/>
    <x v="1"/>
    <n v="30000"/>
    <n v="0"/>
    <x v="2"/>
    <s v="Skilled Manual"/>
    <s v="Yes"/>
    <n v="2"/>
    <x v="2"/>
    <x v="2"/>
    <n v="30"/>
    <x v="3"/>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2"/>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2"/>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3"/>
    <x v="0"/>
  </r>
  <r>
    <n v="23668"/>
    <x v="0"/>
    <x v="0"/>
    <n v="40000"/>
    <n v="4"/>
    <x v="2"/>
    <s v="Professional"/>
    <s v="Yes"/>
    <n v="2"/>
    <x v="2"/>
    <x v="2"/>
    <n v="59"/>
    <x v="1"/>
    <x v="1"/>
  </r>
  <r>
    <n v="27441"/>
    <x v="0"/>
    <x v="1"/>
    <n v="60000"/>
    <n v="3"/>
    <x v="2"/>
    <s v="Professional"/>
    <s v="No"/>
    <n v="2"/>
    <x v="1"/>
    <x v="2"/>
    <n v="53"/>
    <x v="2"/>
    <x v="0"/>
  </r>
  <r>
    <n v="27261"/>
    <x v="0"/>
    <x v="1"/>
    <n v="40000"/>
    <n v="1"/>
    <x v="0"/>
    <s v="Skilled Manual"/>
    <s v="No"/>
    <n v="1"/>
    <x v="0"/>
    <x v="2"/>
    <n v="36"/>
    <x v="0"/>
    <x v="1"/>
  </r>
  <r>
    <n v="18649"/>
    <x v="1"/>
    <x v="1"/>
    <n v="30000"/>
    <n v="1"/>
    <x v="2"/>
    <s v="Clerical"/>
    <s v="Yes"/>
    <n v="2"/>
    <x v="3"/>
    <x v="2"/>
    <n v="51"/>
    <x v="2"/>
    <x v="1"/>
  </r>
  <r>
    <n v="21714"/>
    <x v="1"/>
    <x v="0"/>
    <n v="80000"/>
    <n v="5"/>
    <x v="4"/>
    <s v="Skilled Manual"/>
    <s v="No"/>
    <n v="0"/>
    <x v="0"/>
    <x v="2"/>
    <n v="47"/>
    <x v="2"/>
    <x v="0"/>
  </r>
  <r>
    <n v="23217"/>
    <x v="1"/>
    <x v="0"/>
    <n v="60000"/>
    <n v="3"/>
    <x v="4"/>
    <s v="Professional"/>
    <s v="Yes"/>
    <n v="0"/>
    <x v="1"/>
    <x v="2"/>
    <n v="43"/>
    <x v="0"/>
    <x v="1"/>
  </r>
  <r>
    <n v="23797"/>
    <x v="1"/>
    <x v="1"/>
    <n v="20000"/>
    <n v="3"/>
    <x v="3"/>
    <s v="Clerical"/>
    <s v="No"/>
    <n v="2"/>
    <x v="0"/>
    <x v="2"/>
    <n v="50"/>
    <x v="2"/>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3"/>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2"/>
    <x v="0"/>
  </r>
  <r>
    <n v="14657"/>
    <x v="0"/>
    <x v="1"/>
    <n v="80000"/>
    <n v="1"/>
    <x v="1"/>
    <s v="Skilled Manual"/>
    <s v="No"/>
    <n v="1"/>
    <x v="0"/>
    <x v="2"/>
    <n v="47"/>
    <x v="2"/>
    <x v="1"/>
  </r>
  <r>
    <n v="11540"/>
    <x v="1"/>
    <x v="1"/>
    <n v="60000"/>
    <n v="4"/>
    <x v="4"/>
    <s v="Skilled Manual"/>
    <s v="Yes"/>
    <n v="0"/>
    <x v="3"/>
    <x v="2"/>
    <n v="47"/>
    <x v="2"/>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2"/>
    <x v="0"/>
  </r>
  <r>
    <n v="26490"/>
    <x v="1"/>
    <x v="1"/>
    <n v="70000"/>
    <n v="2"/>
    <x v="0"/>
    <s v="Management"/>
    <s v="No"/>
    <n v="1"/>
    <x v="1"/>
    <x v="2"/>
    <n v="59"/>
    <x v="1"/>
    <x v="1"/>
  </r>
  <r>
    <n v="13151"/>
    <x v="1"/>
    <x v="1"/>
    <n v="40000"/>
    <n v="0"/>
    <x v="2"/>
    <s v="Skilled Manual"/>
    <s v="Yes"/>
    <n v="2"/>
    <x v="2"/>
    <x v="2"/>
    <n v="27"/>
    <x v="3"/>
    <x v="0"/>
  </r>
  <r>
    <n v="17260"/>
    <x v="0"/>
    <x v="1"/>
    <n v="90000"/>
    <n v="5"/>
    <x v="1"/>
    <s v="Professional"/>
    <s v="Yes"/>
    <n v="3"/>
    <x v="0"/>
    <x v="2"/>
    <n v="41"/>
    <x v="0"/>
    <x v="0"/>
  </r>
  <r>
    <n v="15372"/>
    <x v="0"/>
    <x v="1"/>
    <n v="80000"/>
    <n v="3"/>
    <x v="1"/>
    <s v="Professional"/>
    <s v="No"/>
    <n v="2"/>
    <x v="1"/>
    <x v="2"/>
    <n v="50"/>
    <x v="2"/>
    <x v="1"/>
  </r>
  <r>
    <n v="18105"/>
    <x v="0"/>
    <x v="0"/>
    <n v="60000"/>
    <n v="2"/>
    <x v="1"/>
    <s v="Professional"/>
    <s v="Yes"/>
    <n v="1"/>
    <x v="4"/>
    <x v="2"/>
    <n v="55"/>
    <x v="2"/>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2"/>
    <x v="1"/>
  </r>
  <r>
    <n v="24496"/>
    <x v="1"/>
    <x v="0"/>
    <n v="40000"/>
    <n v="0"/>
    <x v="2"/>
    <s v="Skilled Manual"/>
    <s v="No"/>
    <n v="2"/>
    <x v="0"/>
    <x v="2"/>
    <n v="28"/>
    <x v="3"/>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2"/>
    <x v="0"/>
  </r>
  <r>
    <n v="22221"/>
    <x v="0"/>
    <x v="1"/>
    <n v="60000"/>
    <n v="2"/>
    <x v="2"/>
    <s v="Professional"/>
    <s v="No"/>
    <n v="2"/>
    <x v="3"/>
    <x v="2"/>
    <n v="48"/>
    <x v="2"/>
    <x v="1"/>
  </r>
  <r>
    <n v="28228"/>
    <x v="1"/>
    <x v="0"/>
    <n v="80000"/>
    <n v="2"/>
    <x v="3"/>
    <s v="Skilled Manual"/>
    <s v="No"/>
    <n v="2"/>
    <x v="3"/>
    <x v="2"/>
    <n v="50"/>
    <x v="2"/>
    <x v="0"/>
  </r>
  <r>
    <n v="18363"/>
    <x v="0"/>
    <x v="1"/>
    <n v="40000"/>
    <n v="0"/>
    <x v="2"/>
    <s v="Skilled Manual"/>
    <s v="Yes"/>
    <n v="2"/>
    <x v="2"/>
    <x v="2"/>
    <n v="28"/>
    <x v="3"/>
    <x v="1"/>
  </r>
  <r>
    <n v="23256"/>
    <x v="1"/>
    <x v="1"/>
    <n v="30000"/>
    <n v="1"/>
    <x v="2"/>
    <s v="Clerical"/>
    <s v="No"/>
    <n v="1"/>
    <x v="2"/>
    <x v="2"/>
    <n v="52"/>
    <x v="2"/>
    <x v="0"/>
  </r>
  <r>
    <n v="12768"/>
    <x v="0"/>
    <x v="1"/>
    <n v="30000"/>
    <n v="1"/>
    <x v="2"/>
    <s v="Clerical"/>
    <s v="Yes"/>
    <n v="1"/>
    <x v="1"/>
    <x v="2"/>
    <n v="52"/>
    <x v="2"/>
    <x v="1"/>
  </r>
  <r>
    <n v="20361"/>
    <x v="0"/>
    <x v="1"/>
    <n v="50000"/>
    <n v="2"/>
    <x v="4"/>
    <s v="Management"/>
    <s v="Yes"/>
    <n v="2"/>
    <x v="2"/>
    <x v="2"/>
    <n v="69"/>
    <x v="1"/>
    <x v="0"/>
  </r>
  <r>
    <n v="21306"/>
    <x v="1"/>
    <x v="1"/>
    <n v="60000"/>
    <n v="2"/>
    <x v="2"/>
    <s v="Professional"/>
    <s v="Yes"/>
    <n v="2"/>
    <x v="2"/>
    <x v="2"/>
    <n v="51"/>
    <x v="2"/>
    <x v="0"/>
  </r>
  <r>
    <n v="13382"/>
    <x v="0"/>
    <x v="1"/>
    <n v="70000"/>
    <n v="5"/>
    <x v="1"/>
    <s v="Professional"/>
    <s v="Yes"/>
    <n v="2"/>
    <x v="3"/>
    <x v="2"/>
    <n v="57"/>
    <x v="1"/>
    <x v="1"/>
  </r>
  <r>
    <n v="20310"/>
    <x v="1"/>
    <x v="1"/>
    <n v="60000"/>
    <n v="0"/>
    <x v="1"/>
    <s v="Skilled Manual"/>
    <s v="Yes"/>
    <n v="1"/>
    <x v="2"/>
    <x v="2"/>
    <n v="27"/>
    <x v="3"/>
    <x v="1"/>
  </r>
  <r>
    <n v="22971"/>
    <x v="1"/>
    <x v="0"/>
    <n v="30000"/>
    <n v="0"/>
    <x v="2"/>
    <s v="Skilled Manual"/>
    <s v="No"/>
    <n v="2"/>
    <x v="0"/>
    <x v="2"/>
    <n v="25"/>
    <x v="3"/>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3"/>
    <x v="0"/>
  </r>
  <r>
    <n v="15255"/>
    <x v="0"/>
    <x v="1"/>
    <n v="40000"/>
    <n v="0"/>
    <x v="2"/>
    <s v="Skilled Manual"/>
    <s v="Yes"/>
    <n v="2"/>
    <x v="2"/>
    <x v="2"/>
    <n v="28"/>
    <x v="3"/>
    <x v="1"/>
  </r>
  <r>
    <n v="13154"/>
    <x v="0"/>
    <x v="1"/>
    <n v="40000"/>
    <n v="0"/>
    <x v="2"/>
    <s v="Skilled Manual"/>
    <s v="No"/>
    <n v="2"/>
    <x v="0"/>
    <x v="2"/>
    <n v="27"/>
    <x v="3"/>
    <x v="1"/>
  </r>
  <r>
    <n v="26778"/>
    <x v="1"/>
    <x v="0"/>
    <n v="40000"/>
    <n v="0"/>
    <x v="2"/>
    <s v="Skilled Manual"/>
    <s v="Yes"/>
    <n v="2"/>
    <x v="2"/>
    <x v="2"/>
    <n v="31"/>
    <x v="0"/>
    <x v="0"/>
  </r>
  <r>
    <n v="23248"/>
    <x v="0"/>
    <x v="0"/>
    <n v="10000"/>
    <n v="2"/>
    <x v="2"/>
    <s v="Manual"/>
    <s v="Yes"/>
    <n v="2"/>
    <x v="3"/>
    <x v="2"/>
    <n v="53"/>
    <x v="2"/>
    <x v="0"/>
  </r>
  <r>
    <n v="21417"/>
    <x v="1"/>
    <x v="0"/>
    <n v="60000"/>
    <n v="0"/>
    <x v="1"/>
    <s v="Professional"/>
    <s v="No"/>
    <n v="2"/>
    <x v="3"/>
    <x v="2"/>
    <n v="32"/>
    <x v="0"/>
    <x v="1"/>
  </r>
  <r>
    <n v="17668"/>
    <x v="1"/>
    <x v="1"/>
    <n v="30000"/>
    <n v="2"/>
    <x v="2"/>
    <s v="Skilled Manual"/>
    <s v="Yes"/>
    <n v="2"/>
    <x v="3"/>
    <x v="2"/>
    <n v="50"/>
    <x v="2"/>
    <x v="1"/>
  </r>
  <r>
    <n v="27994"/>
    <x v="0"/>
    <x v="0"/>
    <n v="40000"/>
    <n v="4"/>
    <x v="2"/>
    <s v="Professional"/>
    <s v="Yes"/>
    <n v="2"/>
    <x v="2"/>
    <x v="2"/>
    <n v="69"/>
    <x v="1"/>
    <x v="0"/>
  </r>
  <r>
    <n v="20376"/>
    <x v="1"/>
    <x v="0"/>
    <n v="70000"/>
    <n v="3"/>
    <x v="4"/>
    <s v="Management"/>
    <s v="Yes"/>
    <n v="2"/>
    <x v="2"/>
    <x v="2"/>
    <n v="52"/>
    <x v="2"/>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2"/>
    <x v="0"/>
  </r>
  <r>
    <n v="13351"/>
    <x v="1"/>
    <x v="0"/>
    <n v="70000"/>
    <n v="4"/>
    <x v="0"/>
    <s v="Management"/>
    <s v="Yes"/>
    <n v="2"/>
    <x v="3"/>
    <x v="2"/>
    <n v="62"/>
    <x v="1"/>
    <x v="1"/>
  </r>
  <r>
    <n v="23333"/>
    <x v="0"/>
    <x v="1"/>
    <n v="40000"/>
    <n v="0"/>
    <x v="1"/>
    <s v="Skilled Manual"/>
    <s v="No"/>
    <n v="2"/>
    <x v="3"/>
    <x v="2"/>
    <n v="30"/>
    <x v="3"/>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3"/>
    <x v="0"/>
  </r>
  <r>
    <n v="27505"/>
    <x v="1"/>
    <x v="0"/>
    <n v="40000"/>
    <n v="0"/>
    <x v="2"/>
    <s v="Skilled Manual"/>
    <s v="Yes"/>
    <n v="2"/>
    <x v="2"/>
    <x v="2"/>
    <n v="30"/>
    <x v="3"/>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2"/>
    <x v="1"/>
  </r>
  <r>
    <n v="29048"/>
    <x v="1"/>
    <x v="1"/>
    <n v="110000"/>
    <n v="2"/>
    <x v="0"/>
    <s v="Management"/>
    <s v="No"/>
    <n v="3"/>
    <x v="0"/>
    <x v="2"/>
    <n v="37"/>
    <x v="0"/>
    <x v="1"/>
  </r>
  <r>
    <n v="24433"/>
    <x v="0"/>
    <x v="1"/>
    <n v="70000"/>
    <n v="3"/>
    <x v="2"/>
    <s v="Professional"/>
    <s v="No"/>
    <n v="1"/>
    <x v="3"/>
    <x v="2"/>
    <n v="52"/>
    <x v="2"/>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3"/>
    <x v="0"/>
  </r>
  <r>
    <n v="16009"/>
    <x v="1"/>
    <x v="1"/>
    <n v="170000"/>
    <n v="1"/>
    <x v="4"/>
    <s v="Management"/>
    <s v="No"/>
    <n v="4"/>
    <x v="0"/>
    <x v="2"/>
    <n v="66"/>
    <x v="1"/>
    <x v="0"/>
  </r>
  <r>
    <n v="18411"/>
    <x v="0"/>
    <x v="1"/>
    <n v="60000"/>
    <n v="2"/>
    <x v="2"/>
    <s v="Professional"/>
    <s v="No"/>
    <n v="2"/>
    <x v="2"/>
    <x v="2"/>
    <n v="51"/>
    <x v="2"/>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2"/>
    <x v="1"/>
  </r>
  <r>
    <n v="12922"/>
    <x v="1"/>
    <x v="0"/>
    <n v="60000"/>
    <n v="3"/>
    <x v="0"/>
    <s v="Skilled Manual"/>
    <s v="Yes"/>
    <n v="0"/>
    <x v="1"/>
    <x v="2"/>
    <n v="40"/>
    <x v="0"/>
    <x v="1"/>
  </r>
  <r>
    <n v="18891"/>
    <x v="0"/>
    <x v="0"/>
    <n v="40000"/>
    <n v="0"/>
    <x v="1"/>
    <s v="Skilled Manual"/>
    <s v="Yes"/>
    <n v="2"/>
    <x v="2"/>
    <x v="2"/>
    <n v="28"/>
    <x v="3"/>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2"/>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2"/>
    <x v="0"/>
  </r>
  <r>
    <n v="22743"/>
    <x v="0"/>
    <x v="0"/>
    <n v="40000"/>
    <n v="5"/>
    <x v="2"/>
    <s v="Professional"/>
    <s v="Yes"/>
    <n v="2"/>
    <x v="4"/>
    <x v="2"/>
    <n v="60"/>
    <x v="1"/>
    <x v="0"/>
  </r>
  <r>
    <n v="25343"/>
    <x v="1"/>
    <x v="0"/>
    <n v="20000"/>
    <n v="3"/>
    <x v="3"/>
    <s v="Clerical"/>
    <s v="Yes"/>
    <n v="2"/>
    <x v="3"/>
    <x v="2"/>
    <n v="50"/>
    <x v="2"/>
    <x v="0"/>
  </r>
  <r>
    <n v="13390"/>
    <x v="0"/>
    <x v="0"/>
    <n v="70000"/>
    <n v="4"/>
    <x v="1"/>
    <s v="Professional"/>
    <s v="No"/>
    <n v="1"/>
    <x v="3"/>
    <x v="2"/>
    <n v="56"/>
    <x v="1"/>
    <x v="0"/>
  </r>
  <r>
    <n v="17482"/>
    <x v="1"/>
    <x v="0"/>
    <n v="40000"/>
    <n v="0"/>
    <x v="3"/>
    <s v="Clerical"/>
    <s v="Yes"/>
    <n v="2"/>
    <x v="2"/>
    <x v="2"/>
    <n v="29"/>
    <x v="3"/>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3"/>
    <x v="0"/>
  </r>
  <r>
    <n v="11745"/>
    <x v="0"/>
    <x v="0"/>
    <n v="60000"/>
    <n v="1"/>
    <x v="0"/>
    <s v="Professional"/>
    <s v="Yes"/>
    <n v="1"/>
    <x v="0"/>
    <x v="2"/>
    <n v="47"/>
    <x v="2"/>
    <x v="1"/>
  </r>
  <r>
    <n v="19147"/>
    <x v="0"/>
    <x v="1"/>
    <n v="40000"/>
    <n v="0"/>
    <x v="0"/>
    <s v="Professional"/>
    <s v="No"/>
    <n v="1"/>
    <x v="0"/>
    <x v="2"/>
    <n v="42"/>
    <x v="0"/>
    <x v="0"/>
  </r>
  <r>
    <n v="19217"/>
    <x v="0"/>
    <x v="1"/>
    <n v="30000"/>
    <n v="2"/>
    <x v="2"/>
    <s v="Skilled Manual"/>
    <s v="Yes"/>
    <n v="2"/>
    <x v="3"/>
    <x v="2"/>
    <n v="49"/>
    <x v="2"/>
    <x v="0"/>
  </r>
  <r>
    <n v="15839"/>
    <x v="1"/>
    <x v="1"/>
    <n v="30000"/>
    <n v="0"/>
    <x v="1"/>
    <s v="Skilled Manual"/>
    <s v="Yes"/>
    <n v="1"/>
    <x v="2"/>
    <x v="2"/>
    <n v="32"/>
    <x v="0"/>
    <x v="0"/>
  </r>
  <r>
    <n v="13714"/>
    <x v="0"/>
    <x v="0"/>
    <n v="20000"/>
    <n v="2"/>
    <x v="2"/>
    <s v="Manual"/>
    <s v="No"/>
    <n v="2"/>
    <x v="3"/>
    <x v="2"/>
    <n v="53"/>
    <x v="2"/>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2"/>
    <x v="0"/>
  </r>
  <r>
    <n v="26693"/>
    <x v="0"/>
    <x v="1"/>
    <n v="70000"/>
    <n v="3"/>
    <x v="1"/>
    <s v="Professional"/>
    <s v="Yes"/>
    <n v="1"/>
    <x v="2"/>
    <x v="2"/>
    <n v="49"/>
    <x v="2"/>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2"/>
    <x v="0"/>
  </r>
  <r>
    <n v="11219"/>
    <x v="0"/>
    <x v="1"/>
    <n v="60000"/>
    <n v="2"/>
    <x v="2"/>
    <s v="Professional"/>
    <s v="Yes"/>
    <n v="2"/>
    <x v="4"/>
    <x v="2"/>
    <n v="55"/>
    <x v="2"/>
    <x v="0"/>
  </r>
  <r>
    <n v="22118"/>
    <x v="1"/>
    <x v="0"/>
    <n v="70000"/>
    <n v="3"/>
    <x v="4"/>
    <s v="Management"/>
    <s v="Yes"/>
    <n v="2"/>
    <x v="2"/>
    <x v="2"/>
    <n v="53"/>
    <x v="2"/>
    <x v="1"/>
  </r>
  <r>
    <n v="23197"/>
    <x v="0"/>
    <x v="1"/>
    <n v="50000"/>
    <n v="3"/>
    <x v="0"/>
    <s v="Skilled Manual"/>
    <s v="Yes"/>
    <n v="2"/>
    <x v="1"/>
    <x v="2"/>
    <n v="40"/>
    <x v="0"/>
    <x v="0"/>
  </r>
  <r>
    <n v="14883"/>
    <x v="0"/>
    <x v="0"/>
    <n v="30000"/>
    <n v="1"/>
    <x v="0"/>
    <s v="Skilled Manual"/>
    <s v="Yes"/>
    <n v="1"/>
    <x v="2"/>
    <x v="2"/>
    <n v="53"/>
    <x v="2"/>
    <x v="1"/>
  </r>
  <r>
    <n v="27279"/>
    <x v="1"/>
    <x v="0"/>
    <n v="70000"/>
    <n v="2"/>
    <x v="0"/>
    <s v="Skilled Manual"/>
    <s v="Yes"/>
    <n v="0"/>
    <x v="1"/>
    <x v="2"/>
    <n v="38"/>
    <x v="0"/>
    <x v="1"/>
  </r>
  <r>
    <n v="18322"/>
    <x v="1"/>
    <x v="1"/>
    <n v="30000"/>
    <n v="0"/>
    <x v="3"/>
    <s v="Clerical"/>
    <s v="No"/>
    <n v="2"/>
    <x v="0"/>
    <x v="2"/>
    <n v="26"/>
    <x v="3"/>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2"/>
    <x v="1"/>
  </r>
  <r>
    <n v="19731"/>
    <x v="0"/>
    <x v="1"/>
    <n v="80000"/>
    <n v="4"/>
    <x v="4"/>
    <s v="Management"/>
    <s v="Yes"/>
    <n v="2"/>
    <x v="2"/>
    <x v="2"/>
    <n v="68"/>
    <x v="1"/>
    <x v="0"/>
  </r>
  <r>
    <n v="23801"/>
    <x v="0"/>
    <x v="0"/>
    <n v="20000"/>
    <n v="2"/>
    <x v="3"/>
    <s v="Clerical"/>
    <s v="Yes"/>
    <n v="2"/>
    <x v="0"/>
    <x v="2"/>
    <n v="49"/>
    <x v="2"/>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2"/>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3"/>
    <x v="0"/>
  </r>
  <r>
    <n v="18066"/>
    <x v="1"/>
    <x v="1"/>
    <n v="70000"/>
    <n v="5"/>
    <x v="0"/>
    <s v="Management"/>
    <s v="Yes"/>
    <n v="3"/>
    <x v="4"/>
    <x v="2"/>
    <n v="60"/>
    <x v="1"/>
    <x v="1"/>
  </r>
  <r>
    <n v="28192"/>
    <x v="0"/>
    <x v="0"/>
    <n v="70000"/>
    <n v="5"/>
    <x v="4"/>
    <s v="Professional"/>
    <s v="Yes"/>
    <n v="3"/>
    <x v="4"/>
    <x v="2"/>
    <n v="46"/>
    <x v="2"/>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2"/>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2"/>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2"/>
    <x v="0"/>
  </r>
  <r>
    <n v="12153"/>
    <x v="1"/>
    <x v="0"/>
    <n v="70000"/>
    <n v="3"/>
    <x v="1"/>
    <s v="Professional"/>
    <s v="Yes"/>
    <n v="1"/>
    <x v="2"/>
    <x v="2"/>
    <n v="49"/>
    <x v="2"/>
    <x v="1"/>
  </r>
  <r>
    <n v="16895"/>
    <x v="0"/>
    <x v="0"/>
    <n v="40000"/>
    <n v="3"/>
    <x v="1"/>
    <s v="Professional"/>
    <s v="No"/>
    <n v="2"/>
    <x v="3"/>
    <x v="2"/>
    <n v="54"/>
    <x v="2"/>
    <x v="1"/>
  </r>
  <r>
    <n v="26728"/>
    <x v="1"/>
    <x v="1"/>
    <n v="70000"/>
    <n v="3"/>
    <x v="4"/>
    <s v="Management"/>
    <s v="No"/>
    <n v="2"/>
    <x v="3"/>
    <x v="2"/>
    <n v="53"/>
    <x v="2"/>
    <x v="1"/>
  </r>
  <r>
    <n v="11090"/>
    <x v="1"/>
    <x v="1"/>
    <n v="90000"/>
    <n v="2"/>
    <x v="1"/>
    <s v="Professional"/>
    <s v="Yes"/>
    <n v="1"/>
    <x v="1"/>
    <x v="2"/>
    <n v="48"/>
    <x v="2"/>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2"/>
    <x v="0"/>
  </r>
  <r>
    <n v="23459"/>
    <x v="0"/>
    <x v="1"/>
    <n v="60000"/>
    <n v="2"/>
    <x v="2"/>
    <s v="Professional"/>
    <s v="Yes"/>
    <n v="2"/>
    <x v="2"/>
    <x v="2"/>
    <n v="50"/>
    <x v="2"/>
    <x v="0"/>
  </r>
  <r>
    <n v="19543"/>
    <x v="0"/>
    <x v="1"/>
    <n v="70000"/>
    <n v="5"/>
    <x v="4"/>
    <s v="Professional"/>
    <s v="No"/>
    <n v="3"/>
    <x v="4"/>
    <x v="2"/>
    <n v="47"/>
    <x v="2"/>
    <x v="0"/>
  </r>
  <r>
    <n v="14914"/>
    <x v="0"/>
    <x v="0"/>
    <n v="40000"/>
    <n v="1"/>
    <x v="1"/>
    <s v="Clerical"/>
    <s v="Yes"/>
    <n v="1"/>
    <x v="3"/>
    <x v="2"/>
    <n v="49"/>
    <x v="2"/>
    <x v="1"/>
  </r>
  <r>
    <n v="12033"/>
    <x v="1"/>
    <x v="0"/>
    <n v="40000"/>
    <n v="0"/>
    <x v="2"/>
    <s v="Skilled Manual"/>
    <s v="No"/>
    <n v="2"/>
    <x v="0"/>
    <x v="2"/>
    <n v="27"/>
    <x v="3"/>
    <x v="1"/>
  </r>
  <r>
    <n v="11941"/>
    <x v="1"/>
    <x v="1"/>
    <n v="60000"/>
    <n v="0"/>
    <x v="1"/>
    <s v="Skilled Manual"/>
    <s v="Yes"/>
    <n v="0"/>
    <x v="2"/>
    <x v="2"/>
    <n v="29"/>
    <x v="3"/>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3"/>
    <x v="0"/>
  </r>
  <r>
    <n v="23455"/>
    <x v="1"/>
    <x v="1"/>
    <n v="80000"/>
    <n v="2"/>
    <x v="3"/>
    <s v="Skilled Manual"/>
    <s v="No"/>
    <n v="2"/>
    <x v="3"/>
    <x v="2"/>
    <n v="50"/>
    <x v="2"/>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2"/>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2"/>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3"/>
    <x v="1"/>
  </r>
  <r>
    <n v="14662"/>
    <x v="0"/>
    <x v="1"/>
    <n v="60000"/>
    <n v="1"/>
    <x v="0"/>
    <s v="Professional"/>
    <s v="Yes"/>
    <n v="1"/>
    <x v="0"/>
    <x v="2"/>
    <n v="48"/>
    <x v="2"/>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3"/>
    <x v="0"/>
  </r>
  <r>
    <n v="21940"/>
    <x v="0"/>
    <x v="1"/>
    <n v="90000"/>
    <n v="5"/>
    <x v="4"/>
    <s v="Professional"/>
    <s v="Yes"/>
    <n v="0"/>
    <x v="0"/>
    <x v="2"/>
    <n v="47"/>
    <x v="2"/>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2"/>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3"/>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2"/>
    <x v="0"/>
  </r>
  <r>
    <n v="14887"/>
    <x v="0"/>
    <x v="0"/>
    <n v="30000"/>
    <n v="1"/>
    <x v="2"/>
    <s v="Clerical"/>
    <s v="Yes"/>
    <n v="1"/>
    <x v="2"/>
    <x v="2"/>
    <n v="52"/>
    <x v="2"/>
    <x v="0"/>
  </r>
  <r>
    <n v="11734"/>
    <x v="0"/>
    <x v="1"/>
    <n v="60000"/>
    <n v="1"/>
    <x v="1"/>
    <s v="Skilled Manual"/>
    <s v="No"/>
    <n v="1"/>
    <x v="0"/>
    <x v="2"/>
    <n v="47"/>
    <x v="2"/>
    <x v="0"/>
  </r>
  <r>
    <n v="17462"/>
    <x v="0"/>
    <x v="1"/>
    <n v="70000"/>
    <n v="3"/>
    <x v="4"/>
    <s v="Management"/>
    <s v="Yes"/>
    <n v="2"/>
    <x v="2"/>
    <x v="2"/>
    <n v="53"/>
    <x v="2"/>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2"/>
    <x v="0"/>
  </r>
  <r>
    <n v="28625"/>
    <x v="1"/>
    <x v="1"/>
    <n v="40000"/>
    <n v="2"/>
    <x v="1"/>
    <s v="Clerical"/>
    <s v="No"/>
    <n v="1"/>
    <x v="3"/>
    <x v="2"/>
    <n v="47"/>
    <x v="2"/>
    <x v="1"/>
  </r>
  <r>
    <n v="11269"/>
    <x v="0"/>
    <x v="1"/>
    <n v="130000"/>
    <n v="2"/>
    <x v="4"/>
    <s v="Management"/>
    <s v="Yes"/>
    <n v="2"/>
    <x v="0"/>
    <x v="2"/>
    <n v="41"/>
    <x v="0"/>
    <x v="0"/>
  </r>
  <r>
    <n v="25148"/>
    <x v="0"/>
    <x v="1"/>
    <n v="60000"/>
    <n v="2"/>
    <x v="2"/>
    <s v="Professional"/>
    <s v="No"/>
    <n v="2"/>
    <x v="3"/>
    <x v="2"/>
    <n v="48"/>
    <x v="2"/>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3"/>
    <x v="0"/>
  </r>
  <r>
    <n v="19117"/>
    <x v="1"/>
    <x v="0"/>
    <n v="60000"/>
    <n v="1"/>
    <x v="4"/>
    <s v="Professional"/>
    <s v="Yes"/>
    <n v="0"/>
    <x v="1"/>
    <x v="2"/>
    <n v="36"/>
    <x v="0"/>
    <x v="1"/>
  </r>
  <r>
    <n v="22864"/>
    <x v="0"/>
    <x v="1"/>
    <n v="90000"/>
    <n v="2"/>
    <x v="1"/>
    <s v="Professional"/>
    <s v="No"/>
    <n v="0"/>
    <x v="2"/>
    <x v="2"/>
    <n v="49"/>
    <x v="2"/>
    <x v="1"/>
  </r>
  <r>
    <n v="11292"/>
    <x v="1"/>
    <x v="1"/>
    <n v="150000"/>
    <n v="1"/>
    <x v="1"/>
    <s v="Professional"/>
    <s v="No"/>
    <n v="3"/>
    <x v="0"/>
    <x v="2"/>
    <n v="44"/>
    <x v="0"/>
    <x v="1"/>
  </r>
  <r>
    <n v="13466"/>
    <x v="0"/>
    <x v="1"/>
    <n v="80000"/>
    <n v="5"/>
    <x v="1"/>
    <s v="Professional"/>
    <s v="Yes"/>
    <n v="3"/>
    <x v="3"/>
    <x v="2"/>
    <n v="46"/>
    <x v="2"/>
    <x v="0"/>
  </r>
  <r>
    <n v="23731"/>
    <x v="0"/>
    <x v="1"/>
    <n v="60000"/>
    <n v="2"/>
    <x v="2"/>
    <s v="Professional"/>
    <s v="Yes"/>
    <n v="2"/>
    <x v="1"/>
    <x v="2"/>
    <n v="54"/>
    <x v="2"/>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41C94-C444-4367-8500-A670D3472EF1}"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A357DE-7C49-40F7-9862-A35132C9D7E5}"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9: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3"/>
        <item x="0"/>
        <item x="2"/>
        <item x="1"/>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EB1CCA-124A-468B-B065-DEE23A48059B}"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9E77BC-4271-4703-A812-5BDEA5DC95F4}" sourceName="Region">
  <pivotTables>
    <pivotTable tabId="3" name="PivotTable1"/>
    <pivotTable tabId="3" name="PivotTable2"/>
    <pivotTable tabId="3" name="PivotTable3"/>
  </pivotTables>
  <data>
    <tabular pivotCacheId="159136996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E078FA-7A37-4A36-9B31-6519CE532F90}" sourceName="Education">
  <pivotTables>
    <pivotTable tabId="3" name="PivotTable1"/>
    <pivotTable tabId="3" name="PivotTable2"/>
    <pivotTable tabId="3" name="PivotTable3"/>
  </pivotTables>
  <data>
    <tabular pivotCacheId="159136996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2339079-1614-420E-ABDE-2A93A13B3C42}" sourceName="Marital Status">
  <pivotTables>
    <pivotTable tabId="3" name="PivotTable1"/>
    <pivotTable tabId="3" name="PivotTable2"/>
    <pivotTable tabId="3" name="PivotTable3"/>
  </pivotTables>
  <data>
    <tabular pivotCacheId="15913699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B291E7-A442-4999-8FBD-784F411B8E11}" cache="Slicer_Region" caption="Region" style="SlicerStyleDark1" rowHeight="234950"/>
  <slicer name="Education" xr10:uid="{E933BEC2-BB9B-433D-BC32-21B8041DA27E}" cache="Slicer_Education" caption="Education" style="SlicerStyleDark1" rowHeight="234950"/>
  <slicer name="Marital Status" xr10:uid="{E65AFEB0-59CD-4387-9B3B-1399860220D6}" cache="Slicer_Marital_Status" caption="Marital Status" style="SlicerStyleDark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8DD8-0D5A-4A80-9C25-AB4AA0192E87}">
  <dimension ref="A1:N1001"/>
  <sheetViews>
    <sheetView workbookViewId="0">
      <selection activeCell="B2" sqref="B2"/>
    </sheetView>
  </sheetViews>
  <sheetFormatPr defaultRowHeight="14.4" x14ac:dyDescent="0.3"/>
  <cols>
    <col min="4" max="4" width="11.88671875" style="3"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cm="1">
        <f t="array" ref="M2:M1001">_xlfn.IFS((L2:L1001&lt;=18),"Child",(L2:L1001&lt;=30),"Young Adult",(L2:L1001&lt;=45),"Adult",(L2:L1001&lt;=55),"Middle Age",(L2:L1001&gt;=55),"Senior")</f>
        <v>Adult</v>
      </c>
      <c r="N2" t="s">
        <v>18</v>
      </c>
    </row>
    <row r="3" spans="1:14" x14ac:dyDescent="0.3">
      <c r="A3">
        <v>24107</v>
      </c>
      <c r="B3" t="s">
        <v>36</v>
      </c>
      <c r="C3" t="s">
        <v>38</v>
      </c>
      <c r="D3" s="3">
        <v>30000</v>
      </c>
      <c r="E3">
        <v>3</v>
      </c>
      <c r="F3" t="s">
        <v>19</v>
      </c>
      <c r="G3" t="s">
        <v>20</v>
      </c>
      <c r="H3" t="s">
        <v>15</v>
      </c>
      <c r="I3">
        <v>1</v>
      </c>
      <c r="J3" t="s">
        <v>16</v>
      </c>
      <c r="K3" t="s">
        <v>17</v>
      </c>
      <c r="L3">
        <v>43</v>
      </c>
      <c r="M3" t="str">
        <v>Adult</v>
      </c>
      <c r="N3" t="s">
        <v>18</v>
      </c>
    </row>
    <row r="4" spans="1:14" x14ac:dyDescent="0.3">
      <c r="A4">
        <v>14177</v>
      </c>
      <c r="B4" t="s">
        <v>36</v>
      </c>
      <c r="C4" t="s">
        <v>38</v>
      </c>
      <c r="D4" s="3">
        <v>80000</v>
      </c>
      <c r="E4">
        <v>5</v>
      </c>
      <c r="F4" t="s">
        <v>19</v>
      </c>
      <c r="G4" t="s">
        <v>21</v>
      </c>
      <c r="H4" t="s">
        <v>18</v>
      </c>
      <c r="I4">
        <v>2</v>
      </c>
      <c r="J4" t="s">
        <v>22</v>
      </c>
      <c r="K4" t="s">
        <v>17</v>
      </c>
      <c r="L4">
        <v>60</v>
      </c>
      <c r="M4" t="str">
        <v>Senior</v>
      </c>
      <c r="N4" t="s">
        <v>18</v>
      </c>
    </row>
    <row r="5" spans="1:14" x14ac:dyDescent="0.3">
      <c r="A5">
        <v>24381</v>
      </c>
      <c r="B5" t="s">
        <v>37</v>
      </c>
      <c r="C5" t="s">
        <v>38</v>
      </c>
      <c r="D5" s="3">
        <v>70000</v>
      </c>
      <c r="E5">
        <v>0</v>
      </c>
      <c r="F5" t="s">
        <v>13</v>
      </c>
      <c r="G5" t="s">
        <v>21</v>
      </c>
      <c r="H5" t="s">
        <v>15</v>
      </c>
      <c r="I5">
        <v>1</v>
      </c>
      <c r="J5" t="s">
        <v>23</v>
      </c>
      <c r="K5" t="s">
        <v>24</v>
      </c>
      <c r="L5">
        <v>41</v>
      </c>
      <c r="M5" t="str">
        <v>Adult</v>
      </c>
      <c r="N5" t="s">
        <v>15</v>
      </c>
    </row>
    <row r="6" spans="1:14" x14ac:dyDescent="0.3">
      <c r="A6">
        <v>25597</v>
      </c>
      <c r="B6" t="s">
        <v>37</v>
      </c>
      <c r="C6" t="s">
        <v>38</v>
      </c>
      <c r="D6" s="3">
        <v>30000</v>
      </c>
      <c r="E6">
        <v>0</v>
      </c>
      <c r="F6" t="s">
        <v>13</v>
      </c>
      <c r="G6" t="s">
        <v>20</v>
      </c>
      <c r="H6" t="s">
        <v>18</v>
      </c>
      <c r="I6">
        <v>0</v>
      </c>
      <c r="J6" t="s">
        <v>16</v>
      </c>
      <c r="K6" t="s">
        <v>17</v>
      </c>
      <c r="L6">
        <v>36</v>
      </c>
      <c r="M6" t="str">
        <v>Adult</v>
      </c>
      <c r="N6" t="s">
        <v>15</v>
      </c>
    </row>
    <row r="7" spans="1:14" x14ac:dyDescent="0.3">
      <c r="A7">
        <v>13507</v>
      </c>
      <c r="B7" t="s">
        <v>36</v>
      </c>
      <c r="C7" t="s">
        <v>39</v>
      </c>
      <c r="D7" s="3">
        <v>10000</v>
      </c>
      <c r="E7">
        <v>2</v>
      </c>
      <c r="F7" t="s">
        <v>19</v>
      </c>
      <c r="G7" t="s">
        <v>25</v>
      </c>
      <c r="H7" t="s">
        <v>15</v>
      </c>
      <c r="I7">
        <v>0</v>
      </c>
      <c r="J7" t="s">
        <v>26</v>
      </c>
      <c r="K7" t="s">
        <v>17</v>
      </c>
      <c r="L7">
        <v>50</v>
      </c>
      <c r="M7" t="str">
        <v>Middle Age</v>
      </c>
      <c r="N7" t="s">
        <v>18</v>
      </c>
    </row>
    <row r="8" spans="1:14" x14ac:dyDescent="0.3">
      <c r="A8">
        <v>27974</v>
      </c>
      <c r="B8" t="s">
        <v>37</v>
      </c>
      <c r="C8" t="s">
        <v>38</v>
      </c>
      <c r="D8" s="3">
        <v>160000</v>
      </c>
      <c r="E8">
        <v>2</v>
      </c>
      <c r="F8" t="s">
        <v>27</v>
      </c>
      <c r="G8" t="s">
        <v>28</v>
      </c>
      <c r="H8" t="s">
        <v>15</v>
      </c>
      <c r="I8">
        <v>4</v>
      </c>
      <c r="J8" t="s">
        <v>16</v>
      </c>
      <c r="K8" t="s">
        <v>24</v>
      </c>
      <c r="L8">
        <v>33</v>
      </c>
      <c r="M8" t="str">
        <v>Adult</v>
      </c>
      <c r="N8" t="s">
        <v>15</v>
      </c>
    </row>
    <row r="9" spans="1:14" x14ac:dyDescent="0.3">
      <c r="A9">
        <v>19364</v>
      </c>
      <c r="B9" t="s">
        <v>36</v>
      </c>
      <c r="C9" t="s">
        <v>38</v>
      </c>
      <c r="D9" s="3">
        <v>40000</v>
      </c>
      <c r="E9">
        <v>1</v>
      </c>
      <c r="F9" t="s">
        <v>13</v>
      </c>
      <c r="G9" t="s">
        <v>14</v>
      </c>
      <c r="H9" t="s">
        <v>15</v>
      </c>
      <c r="I9">
        <v>0</v>
      </c>
      <c r="J9" t="s">
        <v>16</v>
      </c>
      <c r="K9" t="s">
        <v>17</v>
      </c>
      <c r="L9">
        <v>43</v>
      </c>
      <c r="M9" t="str">
        <v>Adult</v>
      </c>
      <c r="N9" t="s">
        <v>15</v>
      </c>
    </row>
    <row r="10" spans="1:14" x14ac:dyDescent="0.3">
      <c r="A10">
        <v>22155</v>
      </c>
      <c r="B10" t="s">
        <v>36</v>
      </c>
      <c r="C10" t="s">
        <v>38</v>
      </c>
      <c r="D10" s="3">
        <v>20000</v>
      </c>
      <c r="E10">
        <v>2</v>
      </c>
      <c r="F10" t="s">
        <v>29</v>
      </c>
      <c r="G10" t="s">
        <v>20</v>
      </c>
      <c r="H10" t="s">
        <v>15</v>
      </c>
      <c r="I10">
        <v>2</v>
      </c>
      <c r="J10" t="s">
        <v>23</v>
      </c>
      <c r="K10" t="s">
        <v>24</v>
      </c>
      <c r="L10">
        <v>58</v>
      </c>
      <c r="M10" t="str">
        <v>Senior</v>
      </c>
      <c r="N10" t="s">
        <v>18</v>
      </c>
    </row>
    <row r="11" spans="1:14" x14ac:dyDescent="0.3">
      <c r="A11">
        <v>19280</v>
      </c>
      <c r="B11" t="s">
        <v>36</v>
      </c>
      <c r="C11" t="s">
        <v>38</v>
      </c>
      <c r="D11" s="3">
        <v>120000</v>
      </c>
      <c r="E11">
        <v>2</v>
      </c>
      <c r="F11" t="s">
        <v>19</v>
      </c>
      <c r="G11" t="s">
        <v>25</v>
      </c>
      <c r="H11" t="s">
        <v>15</v>
      </c>
      <c r="I11">
        <v>1</v>
      </c>
      <c r="J11" t="s">
        <v>16</v>
      </c>
      <c r="K11" t="s">
        <v>17</v>
      </c>
      <c r="L11">
        <v>40</v>
      </c>
      <c r="M11" t="str">
        <v>Adult</v>
      </c>
      <c r="N11" t="s">
        <v>15</v>
      </c>
    </row>
    <row r="12" spans="1:14" x14ac:dyDescent="0.3">
      <c r="A12">
        <v>22173</v>
      </c>
      <c r="B12" t="s">
        <v>36</v>
      </c>
      <c r="C12" t="s">
        <v>39</v>
      </c>
      <c r="D12" s="3">
        <v>30000</v>
      </c>
      <c r="E12">
        <v>3</v>
      </c>
      <c r="F12" t="s">
        <v>27</v>
      </c>
      <c r="G12" t="s">
        <v>14</v>
      </c>
      <c r="H12" t="s">
        <v>18</v>
      </c>
      <c r="I12">
        <v>2</v>
      </c>
      <c r="J12" t="s">
        <v>26</v>
      </c>
      <c r="K12" t="s">
        <v>24</v>
      </c>
      <c r="L12">
        <v>54</v>
      </c>
      <c r="M12" t="str">
        <v>Middle Age</v>
      </c>
      <c r="N12" t="s">
        <v>15</v>
      </c>
    </row>
    <row r="13" spans="1:14" x14ac:dyDescent="0.3">
      <c r="A13">
        <v>12697</v>
      </c>
      <c r="B13" t="s">
        <v>37</v>
      </c>
      <c r="C13" t="s">
        <v>39</v>
      </c>
      <c r="D13" s="3">
        <v>90000</v>
      </c>
      <c r="E13">
        <v>0</v>
      </c>
      <c r="F13" t="s">
        <v>13</v>
      </c>
      <c r="G13" t="s">
        <v>21</v>
      </c>
      <c r="H13" t="s">
        <v>18</v>
      </c>
      <c r="I13">
        <v>4</v>
      </c>
      <c r="J13" t="s">
        <v>46</v>
      </c>
      <c r="K13" t="s">
        <v>24</v>
      </c>
      <c r="L13">
        <v>36</v>
      </c>
      <c r="M13" t="str">
        <v>Adult</v>
      </c>
      <c r="N13" t="s">
        <v>18</v>
      </c>
    </row>
    <row r="14" spans="1:14" x14ac:dyDescent="0.3">
      <c r="A14">
        <v>11434</v>
      </c>
      <c r="B14" t="s">
        <v>36</v>
      </c>
      <c r="C14" t="s">
        <v>38</v>
      </c>
      <c r="D14" s="3">
        <v>170000</v>
      </c>
      <c r="E14">
        <v>5</v>
      </c>
      <c r="F14" t="s">
        <v>19</v>
      </c>
      <c r="G14" t="s">
        <v>21</v>
      </c>
      <c r="H14" t="s">
        <v>15</v>
      </c>
      <c r="I14">
        <v>0</v>
      </c>
      <c r="J14" t="s">
        <v>16</v>
      </c>
      <c r="K14" t="s">
        <v>17</v>
      </c>
      <c r="L14">
        <v>55</v>
      </c>
      <c r="M14" t="str">
        <v>Middle Age</v>
      </c>
      <c r="N14" t="s">
        <v>18</v>
      </c>
    </row>
    <row r="15" spans="1:14" x14ac:dyDescent="0.3">
      <c r="A15">
        <v>25323</v>
      </c>
      <c r="B15" t="s">
        <v>36</v>
      </c>
      <c r="C15" t="s">
        <v>38</v>
      </c>
      <c r="D15" s="3">
        <v>40000</v>
      </c>
      <c r="E15">
        <v>2</v>
      </c>
      <c r="F15" t="s">
        <v>19</v>
      </c>
      <c r="G15" t="s">
        <v>20</v>
      </c>
      <c r="H15" t="s">
        <v>15</v>
      </c>
      <c r="I15">
        <v>1</v>
      </c>
      <c r="J15" t="s">
        <v>26</v>
      </c>
      <c r="K15" t="s">
        <v>17</v>
      </c>
      <c r="L15">
        <v>35</v>
      </c>
      <c r="M15" t="str">
        <v>Adult</v>
      </c>
      <c r="N15" t="s">
        <v>15</v>
      </c>
    </row>
    <row r="16" spans="1:14" x14ac:dyDescent="0.3">
      <c r="A16">
        <v>23542</v>
      </c>
      <c r="B16" t="s">
        <v>37</v>
      </c>
      <c r="C16" t="s">
        <v>38</v>
      </c>
      <c r="D16" s="3">
        <v>60000</v>
      </c>
      <c r="E16">
        <v>1</v>
      </c>
      <c r="F16" t="s">
        <v>19</v>
      </c>
      <c r="G16" t="s">
        <v>14</v>
      </c>
      <c r="H16" t="s">
        <v>18</v>
      </c>
      <c r="I16">
        <v>1</v>
      </c>
      <c r="J16" t="s">
        <v>16</v>
      </c>
      <c r="K16" t="s">
        <v>24</v>
      </c>
      <c r="L16">
        <v>45</v>
      </c>
      <c r="M16" t="str">
        <v>Adult</v>
      </c>
      <c r="N16" t="s">
        <v>15</v>
      </c>
    </row>
    <row r="17" spans="1:14" x14ac:dyDescent="0.3">
      <c r="A17">
        <v>20870</v>
      </c>
      <c r="B17" t="s">
        <v>37</v>
      </c>
      <c r="C17" t="s">
        <v>39</v>
      </c>
      <c r="D17" s="3">
        <v>10000</v>
      </c>
      <c r="E17">
        <v>2</v>
      </c>
      <c r="F17" t="s">
        <v>27</v>
      </c>
      <c r="G17" t="s">
        <v>25</v>
      </c>
      <c r="H17" t="s">
        <v>15</v>
      </c>
      <c r="I17">
        <v>1</v>
      </c>
      <c r="J17" t="s">
        <v>16</v>
      </c>
      <c r="K17" t="s">
        <v>17</v>
      </c>
      <c r="L17">
        <v>38</v>
      </c>
      <c r="M17" t="str">
        <v>Adult</v>
      </c>
      <c r="N17" t="s">
        <v>15</v>
      </c>
    </row>
    <row r="18" spans="1:14" x14ac:dyDescent="0.3">
      <c r="A18">
        <v>23316</v>
      </c>
      <c r="B18" t="s">
        <v>37</v>
      </c>
      <c r="C18" t="s">
        <v>38</v>
      </c>
      <c r="D18" s="3">
        <v>30000</v>
      </c>
      <c r="E18">
        <v>3</v>
      </c>
      <c r="F18" t="s">
        <v>19</v>
      </c>
      <c r="G18" t="s">
        <v>20</v>
      </c>
      <c r="H18" t="s">
        <v>18</v>
      </c>
      <c r="I18">
        <v>2</v>
      </c>
      <c r="J18" t="s">
        <v>26</v>
      </c>
      <c r="K18" t="s">
        <v>24</v>
      </c>
      <c r="L18">
        <v>59</v>
      </c>
      <c r="M18" t="str">
        <v>Senior</v>
      </c>
      <c r="N18" t="s">
        <v>15</v>
      </c>
    </row>
    <row r="19" spans="1:14" x14ac:dyDescent="0.3">
      <c r="A19">
        <v>12610</v>
      </c>
      <c r="B19" t="s">
        <v>36</v>
      </c>
      <c r="C19" t="s">
        <v>39</v>
      </c>
      <c r="D19" s="3">
        <v>30000</v>
      </c>
      <c r="E19">
        <v>1</v>
      </c>
      <c r="F19" t="s">
        <v>13</v>
      </c>
      <c r="G19" t="s">
        <v>20</v>
      </c>
      <c r="H19" t="s">
        <v>15</v>
      </c>
      <c r="I19">
        <v>0</v>
      </c>
      <c r="J19" t="s">
        <v>16</v>
      </c>
      <c r="K19" t="s">
        <v>17</v>
      </c>
      <c r="L19">
        <v>47</v>
      </c>
      <c r="M19" t="str">
        <v>Middle Age</v>
      </c>
      <c r="N19" t="s">
        <v>18</v>
      </c>
    </row>
    <row r="20" spans="1:14" x14ac:dyDescent="0.3">
      <c r="A20">
        <v>27183</v>
      </c>
      <c r="B20" t="s">
        <v>37</v>
      </c>
      <c r="C20" t="s">
        <v>38</v>
      </c>
      <c r="D20" s="3">
        <v>40000</v>
      </c>
      <c r="E20">
        <v>2</v>
      </c>
      <c r="F20" t="s">
        <v>19</v>
      </c>
      <c r="G20" t="s">
        <v>20</v>
      </c>
      <c r="H20" t="s">
        <v>15</v>
      </c>
      <c r="I20">
        <v>1</v>
      </c>
      <c r="J20" t="s">
        <v>26</v>
      </c>
      <c r="K20" t="s">
        <v>17</v>
      </c>
      <c r="L20">
        <v>35</v>
      </c>
      <c r="M20" t="str">
        <v>Adult</v>
      </c>
      <c r="N20" t="s">
        <v>15</v>
      </c>
    </row>
    <row r="21" spans="1:14" x14ac:dyDescent="0.3">
      <c r="A21">
        <v>25940</v>
      </c>
      <c r="B21" t="s">
        <v>37</v>
      </c>
      <c r="C21" t="s">
        <v>38</v>
      </c>
      <c r="D21" s="3">
        <v>20000</v>
      </c>
      <c r="E21">
        <v>2</v>
      </c>
      <c r="F21" t="s">
        <v>29</v>
      </c>
      <c r="G21" t="s">
        <v>20</v>
      </c>
      <c r="H21" t="s">
        <v>15</v>
      </c>
      <c r="I21">
        <v>2</v>
      </c>
      <c r="J21" t="s">
        <v>23</v>
      </c>
      <c r="K21" t="s">
        <v>24</v>
      </c>
      <c r="L21">
        <v>55</v>
      </c>
      <c r="M21" t="str">
        <v>Middle Age</v>
      </c>
      <c r="N21" t="s">
        <v>15</v>
      </c>
    </row>
    <row r="22" spans="1:14" x14ac:dyDescent="0.3">
      <c r="A22">
        <v>25598</v>
      </c>
      <c r="B22" t="s">
        <v>36</v>
      </c>
      <c r="C22" t="s">
        <v>39</v>
      </c>
      <c r="D22" s="3">
        <v>40000</v>
      </c>
      <c r="E22">
        <v>0</v>
      </c>
      <c r="F22" t="s">
        <v>31</v>
      </c>
      <c r="G22" t="s">
        <v>20</v>
      </c>
      <c r="H22" t="s">
        <v>15</v>
      </c>
      <c r="I22">
        <v>0</v>
      </c>
      <c r="J22" t="s">
        <v>16</v>
      </c>
      <c r="K22" t="s">
        <v>17</v>
      </c>
      <c r="L22">
        <v>36</v>
      </c>
      <c r="M22" t="str">
        <v>Adult</v>
      </c>
      <c r="N22" t="s">
        <v>15</v>
      </c>
    </row>
    <row r="23" spans="1:14" x14ac:dyDescent="0.3">
      <c r="A23">
        <v>21564</v>
      </c>
      <c r="B23" t="s">
        <v>37</v>
      </c>
      <c r="C23" t="s">
        <v>39</v>
      </c>
      <c r="D23" s="3">
        <v>80000</v>
      </c>
      <c r="E23">
        <v>0</v>
      </c>
      <c r="F23" t="s">
        <v>13</v>
      </c>
      <c r="G23" t="s">
        <v>21</v>
      </c>
      <c r="H23" t="s">
        <v>15</v>
      </c>
      <c r="I23">
        <v>4</v>
      </c>
      <c r="J23" t="s">
        <v>46</v>
      </c>
      <c r="K23" t="s">
        <v>24</v>
      </c>
      <c r="L23">
        <v>35</v>
      </c>
      <c r="M23" t="str">
        <v>Adult</v>
      </c>
      <c r="N23" t="s">
        <v>18</v>
      </c>
    </row>
    <row r="24" spans="1:14" x14ac:dyDescent="0.3">
      <c r="A24">
        <v>19193</v>
      </c>
      <c r="B24" t="s">
        <v>37</v>
      </c>
      <c r="C24" t="s">
        <v>38</v>
      </c>
      <c r="D24" s="3">
        <v>40000</v>
      </c>
      <c r="E24">
        <v>2</v>
      </c>
      <c r="F24" t="s">
        <v>19</v>
      </c>
      <c r="G24" t="s">
        <v>20</v>
      </c>
      <c r="H24" t="s">
        <v>15</v>
      </c>
      <c r="I24">
        <v>0</v>
      </c>
      <c r="J24" t="s">
        <v>26</v>
      </c>
      <c r="K24" t="s">
        <v>17</v>
      </c>
      <c r="L24">
        <v>35</v>
      </c>
      <c r="M24" t="str">
        <v>Adult</v>
      </c>
      <c r="N24" t="s">
        <v>15</v>
      </c>
    </row>
    <row r="25" spans="1:14" x14ac:dyDescent="0.3">
      <c r="A25">
        <v>26412</v>
      </c>
      <c r="B25" t="s">
        <v>36</v>
      </c>
      <c r="C25" t="s">
        <v>39</v>
      </c>
      <c r="D25" s="3">
        <v>80000</v>
      </c>
      <c r="E25">
        <v>5</v>
      </c>
      <c r="F25" t="s">
        <v>27</v>
      </c>
      <c r="G25" t="s">
        <v>28</v>
      </c>
      <c r="H25" t="s">
        <v>18</v>
      </c>
      <c r="I25">
        <v>3</v>
      </c>
      <c r="J25" t="s">
        <v>23</v>
      </c>
      <c r="K25" t="s">
        <v>17</v>
      </c>
      <c r="L25">
        <v>56</v>
      </c>
      <c r="M25" t="str">
        <v>Senior</v>
      </c>
      <c r="N25" t="s">
        <v>18</v>
      </c>
    </row>
    <row r="26" spans="1:14" x14ac:dyDescent="0.3">
      <c r="A26">
        <v>27184</v>
      </c>
      <c r="B26" t="s">
        <v>37</v>
      </c>
      <c r="C26" t="s">
        <v>38</v>
      </c>
      <c r="D26" s="3">
        <v>40000</v>
      </c>
      <c r="E26">
        <v>2</v>
      </c>
      <c r="F26" t="s">
        <v>19</v>
      </c>
      <c r="G26" t="s">
        <v>20</v>
      </c>
      <c r="H26" t="s">
        <v>18</v>
      </c>
      <c r="I26">
        <v>1</v>
      </c>
      <c r="J26" t="s">
        <v>16</v>
      </c>
      <c r="K26" t="s">
        <v>17</v>
      </c>
      <c r="L26">
        <v>34</v>
      </c>
      <c r="M26" t="str">
        <v>Adult</v>
      </c>
      <c r="N26" t="s">
        <v>18</v>
      </c>
    </row>
    <row r="27" spans="1:14" x14ac:dyDescent="0.3">
      <c r="A27">
        <v>12590</v>
      </c>
      <c r="B27" t="s">
        <v>37</v>
      </c>
      <c r="C27" t="s">
        <v>38</v>
      </c>
      <c r="D27" s="3">
        <v>30000</v>
      </c>
      <c r="E27">
        <v>1</v>
      </c>
      <c r="F27" t="s">
        <v>13</v>
      </c>
      <c r="G27" t="s">
        <v>20</v>
      </c>
      <c r="H27" t="s">
        <v>15</v>
      </c>
      <c r="I27">
        <v>0</v>
      </c>
      <c r="J27" t="s">
        <v>16</v>
      </c>
      <c r="K27" t="s">
        <v>17</v>
      </c>
      <c r="L27">
        <v>63</v>
      </c>
      <c r="M27" t="str">
        <v>Senior</v>
      </c>
      <c r="N27" t="s">
        <v>18</v>
      </c>
    </row>
    <row r="28" spans="1:14" x14ac:dyDescent="0.3">
      <c r="A28">
        <v>17841</v>
      </c>
      <c r="B28" t="s">
        <v>37</v>
      </c>
      <c r="C28" t="s">
        <v>38</v>
      </c>
      <c r="D28" s="3">
        <v>30000</v>
      </c>
      <c r="E28">
        <v>0</v>
      </c>
      <c r="F28" t="s">
        <v>19</v>
      </c>
      <c r="G28" t="s">
        <v>20</v>
      </c>
      <c r="H28" t="s">
        <v>18</v>
      </c>
      <c r="I28">
        <v>1</v>
      </c>
      <c r="J28" t="s">
        <v>16</v>
      </c>
      <c r="K28" t="s">
        <v>17</v>
      </c>
      <c r="L28">
        <v>29</v>
      </c>
      <c r="M28" t="str">
        <v>Young Adult</v>
      </c>
      <c r="N28" t="s">
        <v>15</v>
      </c>
    </row>
    <row r="29" spans="1:14" x14ac:dyDescent="0.3">
      <c r="A29">
        <v>18283</v>
      </c>
      <c r="B29" t="s">
        <v>37</v>
      </c>
      <c r="C29" t="s">
        <v>39</v>
      </c>
      <c r="D29" s="3">
        <v>100000</v>
      </c>
      <c r="E29">
        <v>0</v>
      </c>
      <c r="F29" t="s">
        <v>13</v>
      </c>
      <c r="G29" t="s">
        <v>21</v>
      </c>
      <c r="H29" t="s">
        <v>18</v>
      </c>
      <c r="I29">
        <v>1</v>
      </c>
      <c r="J29" t="s">
        <v>23</v>
      </c>
      <c r="K29" t="s">
        <v>24</v>
      </c>
      <c r="L29">
        <v>40</v>
      </c>
      <c r="M29" t="str">
        <v>Adult</v>
      </c>
      <c r="N29" t="s">
        <v>18</v>
      </c>
    </row>
    <row r="30" spans="1:14" x14ac:dyDescent="0.3">
      <c r="A30">
        <v>18299</v>
      </c>
      <c r="B30" t="s">
        <v>36</v>
      </c>
      <c r="C30" t="s">
        <v>38</v>
      </c>
      <c r="D30" s="3">
        <v>70000</v>
      </c>
      <c r="E30">
        <v>5</v>
      </c>
      <c r="F30" t="s">
        <v>19</v>
      </c>
      <c r="G30" t="s">
        <v>14</v>
      </c>
      <c r="H30" t="s">
        <v>15</v>
      </c>
      <c r="I30">
        <v>2</v>
      </c>
      <c r="J30" t="s">
        <v>23</v>
      </c>
      <c r="K30" t="s">
        <v>24</v>
      </c>
      <c r="L30">
        <v>44</v>
      </c>
      <c r="M30" t="str">
        <v>Adult</v>
      </c>
      <c r="N30" t="s">
        <v>18</v>
      </c>
    </row>
    <row r="31" spans="1:14" x14ac:dyDescent="0.3">
      <c r="A31">
        <v>16466</v>
      </c>
      <c r="B31" t="s">
        <v>37</v>
      </c>
      <c r="C31" t="s">
        <v>39</v>
      </c>
      <c r="D31" s="3">
        <v>20000</v>
      </c>
      <c r="E31">
        <v>0</v>
      </c>
      <c r="F31" t="s">
        <v>29</v>
      </c>
      <c r="G31" t="s">
        <v>25</v>
      </c>
      <c r="H31" t="s">
        <v>18</v>
      </c>
      <c r="I31">
        <v>2</v>
      </c>
      <c r="J31" t="s">
        <v>16</v>
      </c>
      <c r="K31" t="s">
        <v>17</v>
      </c>
      <c r="L31">
        <v>32</v>
      </c>
      <c r="M31" t="str">
        <v>Adult</v>
      </c>
      <c r="N31" t="s">
        <v>15</v>
      </c>
    </row>
    <row r="32" spans="1:14" x14ac:dyDescent="0.3">
      <c r="A32">
        <v>19273</v>
      </c>
      <c r="B32" t="s">
        <v>36</v>
      </c>
      <c r="C32" t="s">
        <v>39</v>
      </c>
      <c r="D32" s="3">
        <v>20000</v>
      </c>
      <c r="E32">
        <v>2</v>
      </c>
      <c r="F32" t="s">
        <v>19</v>
      </c>
      <c r="G32" t="s">
        <v>25</v>
      </c>
      <c r="H32" t="s">
        <v>15</v>
      </c>
      <c r="I32">
        <v>0</v>
      </c>
      <c r="J32" t="s">
        <v>16</v>
      </c>
      <c r="K32" t="s">
        <v>17</v>
      </c>
      <c r="L32">
        <v>63</v>
      </c>
      <c r="M32" t="str">
        <v>Senior</v>
      </c>
      <c r="N32" t="s">
        <v>18</v>
      </c>
    </row>
    <row r="33" spans="1:14" x14ac:dyDescent="0.3">
      <c r="A33">
        <v>22400</v>
      </c>
      <c r="B33" t="s">
        <v>36</v>
      </c>
      <c r="C33" t="s">
        <v>38</v>
      </c>
      <c r="D33" s="3">
        <v>10000</v>
      </c>
      <c r="E33">
        <v>0</v>
      </c>
      <c r="F33" t="s">
        <v>19</v>
      </c>
      <c r="G33" t="s">
        <v>25</v>
      </c>
      <c r="H33" t="s">
        <v>18</v>
      </c>
      <c r="I33">
        <v>1</v>
      </c>
      <c r="J33" t="s">
        <v>16</v>
      </c>
      <c r="K33" t="s">
        <v>24</v>
      </c>
      <c r="L33">
        <v>26</v>
      </c>
      <c r="M33" t="str">
        <v>Young Adult</v>
      </c>
      <c r="N33" t="s">
        <v>15</v>
      </c>
    </row>
    <row r="34" spans="1:14" x14ac:dyDescent="0.3">
      <c r="A34">
        <v>20942</v>
      </c>
      <c r="B34" t="s">
        <v>37</v>
      </c>
      <c r="C34" t="s">
        <v>39</v>
      </c>
      <c r="D34" s="3">
        <v>20000</v>
      </c>
      <c r="E34">
        <v>0</v>
      </c>
      <c r="F34" t="s">
        <v>27</v>
      </c>
      <c r="G34" t="s">
        <v>25</v>
      </c>
      <c r="H34" t="s">
        <v>18</v>
      </c>
      <c r="I34">
        <v>1</v>
      </c>
      <c r="J34" t="s">
        <v>23</v>
      </c>
      <c r="K34" t="s">
        <v>17</v>
      </c>
      <c r="L34">
        <v>31</v>
      </c>
      <c r="M34" t="str">
        <v>Adult</v>
      </c>
      <c r="N34" t="s">
        <v>18</v>
      </c>
    </row>
    <row r="35" spans="1:14" x14ac:dyDescent="0.3">
      <c r="A35">
        <v>18484</v>
      </c>
      <c r="B35" t="s">
        <v>37</v>
      </c>
      <c r="C35" t="s">
        <v>38</v>
      </c>
      <c r="D35" s="3">
        <v>80000</v>
      </c>
      <c r="E35">
        <v>2</v>
      </c>
      <c r="F35" t="s">
        <v>27</v>
      </c>
      <c r="G35" t="s">
        <v>14</v>
      </c>
      <c r="H35" t="s">
        <v>18</v>
      </c>
      <c r="I35">
        <v>2</v>
      </c>
      <c r="J35" t="s">
        <v>26</v>
      </c>
      <c r="K35" t="s">
        <v>24</v>
      </c>
      <c r="L35">
        <v>50</v>
      </c>
      <c r="M35" t="str">
        <v>Middle Age</v>
      </c>
      <c r="N35" t="s">
        <v>15</v>
      </c>
    </row>
    <row r="36" spans="1:14" x14ac:dyDescent="0.3">
      <c r="A36">
        <v>12291</v>
      </c>
      <c r="B36" t="s">
        <v>37</v>
      </c>
      <c r="C36" t="s">
        <v>38</v>
      </c>
      <c r="D36" s="3">
        <v>90000</v>
      </c>
      <c r="E36">
        <v>5</v>
      </c>
      <c r="F36" t="s">
        <v>19</v>
      </c>
      <c r="G36" t="s">
        <v>21</v>
      </c>
      <c r="H36" t="s">
        <v>18</v>
      </c>
      <c r="I36">
        <v>2</v>
      </c>
      <c r="J36" t="s">
        <v>22</v>
      </c>
      <c r="K36" t="s">
        <v>17</v>
      </c>
      <c r="L36">
        <v>62</v>
      </c>
      <c r="M36" t="str">
        <v>Senior</v>
      </c>
      <c r="N36" t="s">
        <v>15</v>
      </c>
    </row>
    <row r="37" spans="1:14" x14ac:dyDescent="0.3">
      <c r="A37">
        <v>28380</v>
      </c>
      <c r="B37" t="s">
        <v>37</v>
      </c>
      <c r="C37" t="s">
        <v>39</v>
      </c>
      <c r="D37" s="3">
        <v>10000</v>
      </c>
      <c r="E37">
        <v>5</v>
      </c>
      <c r="F37" t="s">
        <v>29</v>
      </c>
      <c r="G37" t="s">
        <v>25</v>
      </c>
      <c r="H37" t="s">
        <v>18</v>
      </c>
      <c r="I37">
        <v>2</v>
      </c>
      <c r="J37" t="s">
        <v>16</v>
      </c>
      <c r="K37" t="s">
        <v>17</v>
      </c>
      <c r="L37">
        <v>41</v>
      </c>
      <c r="M37" t="str">
        <v>Adult</v>
      </c>
      <c r="N37" t="s">
        <v>18</v>
      </c>
    </row>
    <row r="38" spans="1:14" x14ac:dyDescent="0.3">
      <c r="A38">
        <v>17891</v>
      </c>
      <c r="B38" t="s">
        <v>36</v>
      </c>
      <c r="C38" t="s">
        <v>39</v>
      </c>
      <c r="D38" s="3">
        <v>10000</v>
      </c>
      <c r="E38">
        <v>2</v>
      </c>
      <c r="F38" t="s">
        <v>19</v>
      </c>
      <c r="G38" t="s">
        <v>25</v>
      </c>
      <c r="H38" t="s">
        <v>15</v>
      </c>
      <c r="I38">
        <v>1</v>
      </c>
      <c r="J38" t="s">
        <v>16</v>
      </c>
      <c r="K38" t="s">
        <v>17</v>
      </c>
      <c r="L38">
        <v>50</v>
      </c>
      <c r="M38" t="str">
        <v>Middle Age</v>
      </c>
      <c r="N38" t="s">
        <v>15</v>
      </c>
    </row>
    <row r="39" spans="1:14" x14ac:dyDescent="0.3">
      <c r="A39">
        <v>27832</v>
      </c>
      <c r="B39" t="s">
        <v>37</v>
      </c>
      <c r="C39" t="s">
        <v>39</v>
      </c>
      <c r="D39" s="3">
        <v>30000</v>
      </c>
      <c r="E39">
        <v>0</v>
      </c>
      <c r="F39" t="s">
        <v>19</v>
      </c>
      <c r="G39" t="s">
        <v>20</v>
      </c>
      <c r="H39" t="s">
        <v>18</v>
      </c>
      <c r="I39">
        <v>1</v>
      </c>
      <c r="J39" t="s">
        <v>22</v>
      </c>
      <c r="K39" t="s">
        <v>17</v>
      </c>
      <c r="L39">
        <v>30</v>
      </c>
      <c r="M39" t="str">
        <v>Young Adult</v>
      </c>
      <c r="N39" t="s">
        <v>18</v>
      </c>
    </row>
    <row r="40" spans="1:14" x14ac:dyDescent="0.3">
      <c r="A40">
        <v>26863</v>
      </c>
      <c r="B40" t="s">
        <v>37</v>
      </c>
      <c r="C40" t="s">
        <v>38</v>
      </c>
      <c r="D40" s="3">
        <v>20000</v>
      </c>
      <c r="E40">
        <v>0</v>
      </c>
      <c r="F40" t="s">
        <v>27</v>
      </c>
      <c r="G40" t="s">
        <v>25</v>
      </c>
      <c r="H40" t="s">
        <v>18</v>
      </c>
      <c r="I40">
        <v>1</v>
      </c>
      <c r="J40" t="s">
        <v>22</v>
      </c>
      <c r="K40" t="s">
        <v>17</v>
      </c>
      <c r="L40">
        <v>28</v>
      </c>
      <c r="M40" t="str">
        <v>Young Adult</v>
      </c>
      <c r="N40" t="s">
        <v>18</v>
      </c>
    </row>
    <row r="41" spans="1:14" x14ac:dyDescent="0.3">
      <c r="A41">
        <v>16259</v>
      </c>
      <c r="B41" t="s">
        <v>37</v>
      </c>
      <c r="C41" t="s">
        <v>39</v>
      </c>
      <c r="D41" s="3">
        <v>10000</v>
      </c>
      <c r="E41">
        <v>4</v>
      </c>
      <c r="F41" t="s">
        <v>29</v>
      </c>
      <c r="G41" t="s">
        <v>25</v>
      </c>
      <c r="H41" t="s">
        <v>15</v>
      </c>
      <c r="I41">
        <v>2</v>
      </c>
      <c r="J41" t="s">
        <v>16</v>
      </c>
      <c r="K41" t="s">
        <v>17</v>
      </c>
      <c r="L41">
        <v>40</v>
      </c>
      <c r="M41" t="str">
        <v>Adult</v>
      </c>
      <c r="N41" t="s">
        <v>15</v>
      </c>
    </row>
    <row r="42" spans="1:14" x14ac:dyDescent="0.3">
      <c r="A42">
        <v>27803</v>
      </c>
      <c r="B42" t="s">
        <v>37</v>
      </c>
      <c r="C42" t="s">
        <v>39</v>
      </c>
      <c r="D42" s="3">
        <v>30000</v>
      </c>
      <c r="E42">
        <v>2</v>
      </c>
      <c r="F42" t="s">
        <v>19</v>
      </c>
      <c r="G42" t="s">
        <v>20</v>
      </c>
      <c r="H42" t="s">
        <v>18</v>
      </c>
      <c r="I42">
        <v>0</v>
      </c>
      <c r="J42" t="s">
        <v>16</v>
      </c>
      <c r="K42" t="s">
        <v>17</v>
      </c>
      <c r="L42">
        <v>43</v>
      </c>
      <c r="M42" t="str">
        <v>Adult</v>
      </c>
      <c r="N42" t="s">
        <v>18</v>
      </c>
    </row>
    <row r="43" spans="1:14" x14ac:dyDescent="0.3">
      <c r="A43">
        <v>14347</v>
      </c>
      <c r="B43" t="s">
        <v>37</v>
      </c>
      <c r="C43" t="s">
        <v>39</v>
      </c>
      <c r="D43" s="3">
        <v>40000</v>
      </c>
      <c r="E43">
        <v>2</v>
      </c>
      <c r="F43" t="s">
        <v>13</v>
      </c>
      <c r="G43" t="s">
        <v>28</v>
      </c>
      <c r="H43" t="s">
        <v>15</v>
      </c>
      <c r="I43">
        <v>2</v>
      </c>
      <c r="J43" t="s">
        <v>23</v>
      </c>
      <c r="K43" t="s">
        <v>24</v>
      </c>
      <c r="L43">
        <v>65</v>
      </c>
      <c r="M43" t="str">
        <v>Senior</v>
      </c>
      <c r="N43" t="s">
        <v>15</v>
      </c>
    </row>
    <row r="44" spans="1:14" x14ac:dyDescent="0.3">
      <c r="A44">
        <v>17703</v>
      </c>
      <c r="B44" t="s">
        <v>36</v>
      </c>
      <c r="C44" t="s">
        <v>39</v>
      </c>
      <c r="D44" s="3">
        <v>10000</v>
      </c>
      <c r="E44">
        <v>1</v>
      </c>
      <c r="F44" t="s">
        <v>31</v>
      </c>
      <c r="G44" t="s">
        <v>25</v>
      </c>
      <c r="H44" t="s">
        <v>15</v>
      </c>
      <c r="I44">
        <v>0</v>
      </c>
      <c r="J44" t="s">
        <v>16</v>
      </c>
      <c r="K44" t="s">
        <v>17</v>
      </c>
      <c r="L44">
        <v>40</v>
      </c>
      <c r="M44" t="str">
        <v>Adult</v>
      </c>
      <c r="N44" t="s">
        <v>18</v>
      </c>
    </row>
    <row r="45" spans="1:14" x14ac:dyDescent="0.3">
      <c r="A45">
        <v>17185</v>
      </c>
      <c r="B45" t="s">
        <v>36</v>
      </c>
      <c r="C45" t="s">
        <v>39</v>
      </c>
      <c r="D45" s="3">
        <v>170000</v>
      </c>
      <c r="E45">
        <v>4</v>
      </c>
      <c r="F45" t="s">
        <v>19</v>
      </c>
      <c r="G45" t="s">
        <v>21</v>
      </c>
      <c r="H45" t="s">
        <v>18</v>
      </c>
      <c r="I45">
        <v>3</v>
      </c>
      <c r="J45" t="s">
        <v>23</v>
      </c>
      <c r="K45" t="s">
        <v>17</v>
      </c>
      <c r="L45">
        <v>48</v>
      </c>
      <c r="M45" t="str">
        <v>Middle Age</v>
      </c>
      <c r="N45" t="s">
        <v>15</v>
      </c>
    </row>
    <row r="46" spans="1:14" x14ac:dyDescent="0.3">
      <c r="A46">
        <v>29380</v>
      </c>
      <c r="B46" t="s">
        <v>36</v>
      </c>
      <c r="C46" t="s">
        <v>39</v>
      </c>
      <c r="D46" s="3">
        <v>20000</v>
      </c>
      <c r="E46">
        <v>3</v>
      </c>
      <c r="F46" t="s">
        <v>27</v>
      </c>
      <c r="G46" t="s">
        <v>25</v>
      </c>
      <c r="H46" t="s">
        <v>15</v>
      </c>
      <c r="I46">
        <v>0</v>
      </c>
      <c r="J46" t="s">
        <v>16</v>
      </c>
      <c r="K46" t="s">
        <v>17</v>
      </c>
      <c r="L46">
        <v>41</v>
      </c>
      <c r="M46" t="str">
        <v>Adult</v>
      </c>
      <c r="N46" t="s">
        <v>15</v>
      </c>
    </row>
    <row r="47" spans="1:14" x14ac:dyDescent="0.3">
      <c r="A47">
        <v>23986</v>
      </c>
      <c r="B47" t="s">
        <v>36</v>
      </c>
      <c r="C47" t="s">
        <v>39</v>
      </c>
      <c r="D47" s="3">
        <v>20000</v>
      </c>
      <c r="E47">
        <v>1</v>
      </c>
      <c r="F47" t="s">
        <v>13</v>
      </c>
      <c r="G47" t="s">
        <v>20</v>
      </c>
      <c r="H47" t="s">
        <v>15</v>
      </c>
      <c r="I47">
        <v>0</v>
      </c>
      <c r="J47" t="s">
        <v>16</v>
      </c>
      <c r="K47" t="s">
        <v>17</v>
      </c>
      <c r="L47">
        <v>66</v>
      </c>
      <c r="M47" t="str">
        <v>Senior</v>
      </c>
      <c r="N47" t="s">
        <v>15</v>
      </c>
    </row>
    <row r="48" spans="1:14" x14ac:dyDescent="0.3">
      <c r="A48">
        <v>24466</v>
      </c>
      <c r="B48" t="s">
        <v>36</v>
      </c>
      <c r="C48" t="s">
        <v>39</v>
      </c>
      <c r="D48" s="3">
        <v>60000</v>
      </c>
      <c r="E48">
        <v>1</v>
      </c>
      <c r="F48" t="s">
        <v>19</v>
      </c>
      <c r="G48" t="s">
        <v>14</v>
      </c>
      <c r="H48" t="s">
        <v>15</v>
      </c>
      <c r="I48">
        <v>1</v>
      </c>
      <c r="J48" t="s">
        <v>23</v>
      </c>
      <c r="K48" t="s">
        <v>24</v>
      </c>
      <c r="L48">
        <v>46</v>
      </c>
      <c r="M48" t="str">
        <v>Middle Age</v>
      </c>
      <c r="N48" t="s">
        <v>15</v>
      </c>
    </row>
    <row r="49" spans="1:14" x14ac:dyDescent="0.3">
      <c r="A49">
        <v>29097</v>
      </c>
      <c r="B49" t="s">
        <v>37</v>
      </c>
      <c r="C49" t="s">
        <v>39</v>
      </c>
      <c r="D49" s="3">
        <v>40000</v>
      </c>
      <c r="E49">
        <v>2</v>
      </c>
      <c r="F49" t="s">
        <v>19</v>
      </c>
      <c r="G49" t="s">
        <v>14</v>
      </c>
      <c r="H49" t="s">
        <v>15</v>
      </c>
      <c r="I49">
        <v>2</v>
      </c>
      <c r="J49" t="s">
        <v>23</v>
      </c>
      <c r="K49" t="s">
        <v>24</v>
      </c>
      <c r="L49">
        <v>52</v>
      </c>
      <c r="M49" t="str">
        <v>Middle Age</v>
      </c>
      <c r="N49" t="s">
        <v>15</v>
      </c>
    </row>
    <row r="50" spans="1:14" x14ac:dyDescent="0.3">
      <c r="A50">
        <v>19487</v>
      </c>
      <c r="B50" t="s">
        <v>36</v>
      </c>
      <c r="C50" t="s">
        <v>38</v>
      </c>
      <c r="D50" s="3">
        <v>30000</v>
      </c>
      <c r="E50">
        <v>2</v>
      </c>
      <c r="F50" t="s">
        <v>19</v>
      </c>
      <c r="G50" t="s">
        <v>20</v>
      </c>
      <c r="H50" t="s">
        <v>18</v>
      </c>
      <c r="I50">
        <v>2</v>
      </c>
      <c r="J50" t="s">
        <v>16</v>
      </c>
      <c r="K50" t="s">
        <v>17</v>
      </c>
      <c r="L50">
        <v>42</v>
      </c>
      <c r="M50" t="str">
        <v>Adult</v>
      </c>
      <c r="N50" t="s">
        <v>18</v>
      </c>
    </row>
    <row r="51" spans="1:14" x14ac:dyDescent="0.3">
      <c r="A51">
        <v>14939</v>
      </c>
      <c r="B51" t="s">
        <v>37</v>
      </c>
      <c r="C51" t="s">
        <v>38</v>
      </c>
      <c r="D51" s="3">
        <v>40000</v>
      </c>
      <c r="E51">
        <v>0</v>
      </c>
      <c r="F51" t="s">
        <v>13</v>
      </c>
      <c r="G51" t="s">
        <v>20</v>
      </c>
      <c r="H51" t="s">
        <v>15</v>
      </c>
      <c r="I51">
        <v>0</v>
      </c>
      <c r="J51" t="s">
        <v>16</v>
      </c>
      <c r="K51" t="s">
        <v>17</v>
      </c>
      <c r="L51">
        <v>39</v>
      </c>
      <c r="M51" t="str">
        <v>Adult</v>
      </c>
      <c r="N51" t="s">
        <v>15</v>
      </c>
    </row>
    <row r="52" spans="1:14" x14ac:dyDescent="0.3">
      <c r="A52">
        <v>13826</v>
      </c>
      <c r="B52" t="s">
        <v>37</v>
      </c>
      <c r="C52" t="s">
        <v>39</v>
      </c>
      <c r="D52" s="3">
        <v>30000</v>
      </c>
      <c r="E52">
        <v>0</v>
      </c>
      <c r="F52" t="s">
        <v>19</v>
      </c>
      <c r="G52" t="s">
        <v>20</v>
      </c>
      <c r="H52" t="s">
        <v>18</v>
      </c>
      <c r="I52">
        <v>1</v>
      </c>
      <c r="J52" t="s">
        <v>16</v>
      </c>
      <c r="K52" t="s">
        <v>17</v>
      </c>
      <c r="L52">
        <v>28</v>
      </c>
      <c r="M52" t="str">
        <v>Young Adult</v>
      </c>
      <c r="N52" t="s">
        <v>18</v>
      </c>
    </row>
    <row r="53" spans="1:14" x14ac:dyDescent="0.3">
      <c r="A53">
        <v>20619</v>
      </c>
      <c r="B53" t="s">
        <v>37</v>
      </c>
      <c r="C53" t="s">
        <v>38</v>
      </c>
      <c r="D53" s="3">
        <v>80000</v>
      </c>
      <c r="E53">
        <v>0</v>
      </c>
      <c r="F53" t="s">
        <v>13</v>
      </c>
      <c r="G53" t="s">
        <v>21</v>
      </c>
      <c r="H53" t="s">
        <v>18</v>
      </c>
      <c r="I53">
        <v>4</v>
      </c>
      <c r="J53" t="s">
        <v>46</v>
      </c>
      <c r="K53" t="s">
        <v>24</v>
      </c>
      <c r="L53">
        <v>35</v>
      </c>
      <c r="M53" t="str">
        <v>Adult</v>
      </c>
      <c r="N53" t="s">
        <v>18</v>
      </c>
    </row>
    <row r="54" spans="1:14" x14ac:dyDescent="0.3">
      <c r="A54">
        <v>12558</v>
      </c>
      <c r="B54" t="s">
        <v>36</v>
      </c>
      <c r="C54" t="s">
        <v>39</v>
      </c>
      <c r="D54" s="3">
        <v>20000</v>
      </c>
      <c r="E54">
        <v>1</v>
      </c>
      <c r="F54" t="s">
        <v>13</v>
      </c>
      <c r="G54" t="s">
        <v>20</v>
      </c>
      <c r="H54" t="s">
        <v>15</v>
      </c>
      <c r="I54">
        <v>0</v>
      </c>
      <c r="J54" t="s">
        <v>16</v>
      </c>
      <c r="K54" t="s">
        <v>17</v>
      </c>
      <c r="L54">
        <v>65</v>
      </c>
      <c r="M54" t="str">
        <v>Senior</v>
      </c>
      <c r="N54" t="s">
        <v>18</v>
      </c>
    </row>
    <row r="55" spans="1:14" x14ac:dyDescent="0.3">
      <c r="A55">
        <v>24871</v>
      </c>
      <c r="B55" t="s">
        <v>37</v>
      </c>
      <c r="C55" t="s">
        <v>39</v>
      </c>
      <c r="D55" s="3">
        <v>90000</v>
      </c>
      <c r="E55">
        <v>4</v>
      </c>
      <c r="F55" t="s">
        <v>27</v>
      </c>
      <c r="G55" t="s">
        <v>28</v>
      </c>
      <c r="H55" t="s">
        <v>18</v>
      </c>
      <c r="I55">
        <v>3</v>
      </c>
      <c r="J55" t="s">
        <v>23</v>
      </c>
      <c r="K55" t="s">
        <v>17</v>
      </c>
      <c r="L55">
        <v>56</v>
      </c>
      <c r="M55" t="str">
        <v>Senior</v>
      </c>
      <c r="N55" t="s">
        <v>18</v>
      </c>
    </row>
    <row r="56" spans="1:14" x14ac:dyDescent="0.3">
      <c r="A56">
        <v>17319</v>
      </c>
      <c r="B56" t="s">
        <v>37</v>
      </c>
      <c r="C56" t="s">
        <v>39</v>
      </c>
      <c r="D56" s="3">
        <v>70000</v>
      </c>
      <c r="E56">
        <v>0</v>
      </c>
      <c r="F56" t="s">
        <v>13</v>
      </c>
      <c r="G56" t="s">
        <v>21</v>
      </c>
      <c r="H56" t="s">
        <v>18</v>
      </c>
      <c r="I56">
        <v>1</v>
      </c>
      <c r="J56" t="s">
        <v>23</v>
      </c>
      <c r="K56" t="s">
        <v>24</v>
      </c>
      <c r="L56">
        <v>42</v>
      </c>
      <c r="M56" t="str">
        <v>Adult</v>
      </c>
      <c r="N56" t="s">
        <v>18</v>
      </c>
    </row>
    <row r="57" spans="1:14" x14ac:dyDescent="0.3">
      <c r="A57">
        <v>28906</v>
      </c>
      <c r="B57" t="s">
        <v>36</v>
      </c>
      <c r="C57" t="s">
        <v>38</v>
      </c>
      <c r="D57" s="3">
        <v>80000</v>
      </c>
      <c r="E57">
        <v>4</v>
      </c>
      <c r="F57" t="s">
        <v>27</v>
      </c>
      <c r="G57" t="s">
        <v>21</v>
      </c>
      <c r="H57" t="s">
        <v>15</v>
      </c>
      <c r="I57">
        <v>2</v>
      </c>
      <c r="J57" t="s">
        <v>46</v>
      </c>
      <c r="K57" t="s">
        <v>17</v>
      </c>
      <c r="L57">
        <v>54</v>
      </c>
      <c r="M57" t="str">
        <v>Middle Age</v>
      </c>
      <c r="N57" t="s">
        <v>18</v>
      </c>
    </row>
    <row r="58" spans="1:14" x14ac:dyDescent="0.3">
      <c r="A58">
        <v>12808</v>
      </c>
      <c r="B58" t="s">
        <v>36</v>
      </c>
      <c r="C58" t="s">
        <v>38</v>
      </c>
      <c r="D58" s="3">
        <v>40000</v>
      </c>
      <c r="E58">
        <v>0</v>
      </c>
      <c r="F58" t="s">
        <v>13</v>
      </c>
      <c r="G58" t="s">
        <v>20</v>
      </c>
      <c r="H58" t="s">
        <v>15</v>
      </c>
      <c r="I58">
        <v>0</v>
      </c>
      <c r="J58" t="s">
        <v>16</v>
      </c>
      <c r="K58" t="s">
        <v>17</v>
      </c>
      <c r="L58">
        <v>38</v>
      </c>
      <c r="M58" t="str">
        <v>Adult</v>
      </c>
      <c r="N58" t="s">
        <v>15</v>
      </c>
    </row>
    <row r="59" spans="1:14" x14ac:dyDescent="0.3">
      <c r="A59">
        <v>20567</v>
      </c>
      <c r="B59" t="s">
        <v>36</v>
      </c>
      <c r="C59" t="s">
        <v>38</v>
      </c>
      <c r="D59" s="3">
        <v>130000</v>
      </c>
      <c r="E59">
        <v>4</v>
      </c>
      <c r="F59" t="s">
        <v>19</v>
      </c>
      <c r="G59" t="s">
        <v>21</v>
      </c>
      <c r="H59" t="s">
        <v>18</v>
      </c>
      <c r="I59">
        <v>4</v>
      </c>
      <c r="J59" t="s">
        <v>23</v>
      </c>
      <c r="K59" t="s">
        <v>17</v>
      </c>
      <c r="L59">
        <v>61</v>
      </c>
      <c r="M59" t="str">
        <v>Senior</v>
      </c>
      <c r="N59" t="s">
        <v>15</v>
      </c>
    </row>
    <row r="60" spans="1:14" x14ac:dyDescent="0.3">
      <c r="A60">
        <v>25502</v>
      </c>
      <c r="B60" t="s">
        <v>36</v>
      </c>
      <c r="C60" t="s">
        <v>39</v>
      </c>
      <c r="D60" s="3">
        <v>40000</v>
      </c>
      <c r="E60">
        <v>1</v>
      </c>
      <c r="F60" t="s">
        <v>13</v>
      </c>
      <c r="G60" t="s">
        <v>14</v>
      </c>
      <c r="H60" t="s">
        <v>15</v>
      </c>
      <c r="I60">
        <v>0</v>
      </c>
      <c r="J60" t="s">
        <v>16</v>
      </c>
      <c r="K60" t="s">
        <v>17</v>
      </c>
      <c r="L60">
        <v>43</v>
      </c>
      <c r="M60" t="str">
        <v>Adult</v>
      </c>
      <c r="N60" t="s">
        <v>15</v>
      </c>
    </row>
    <row r="61" spans="1:14" x14ac:dyDescent="0.3">
      <c r="A61">
        <v>15580</v>
      </c>
      <c r="B61" t="s">
        <v>36</v>
      </c>
      <c r="C61" t="s">
        <v>38</v>
      </c>
      <c r="D61" s="3">
        <v>60000</v>
      </c>
      <c r="E61">
        <v>2</v>
      </c>
      <c r="F61" t="s">
        <v>13</v>
      </c>
      <c r="G61" t="s">
        <v>21</v>
      </c>
      <c r="H61" t="s">
        <v>15</v>
      </c>
      <c r="I61">
        <v>1</v>
      </c>
      <c r="J61" t="s">
        <v>22</v>
      </c>
      <c r="K61" t="s">
        <v>24</v>
      </c>
      <c r="L61">
        <v>38</v>
      </c>
      <c r="M61" t="str">
        <v>Adult</v>
      </c>
      <c r="N61" t="s">
        <v>15</v>
      </c>
    </row>
    <row r="62" spans="1:14" x14ac:dyDescent="0.3">
      <c r="A62">
        <v>24185</v>
      </c>
      <c r="B62" t="s">
        <v>37</v>
      </c>
      <c r="C62" t="s">
        <v>39</v>
      </c>
      <c r="D62" s="3">
        <v>10000</v>
      </c>
      <c r="E62">
        <v>1</v>
      </c>
      <c r="F62" t="s">
        <v>27</v>
      </c>
      <c r="G62" t="s">
        <v>25</v>
      </c>
      <c r="H62" t="s">
        <v>18</v>
      </c>
      <c r="I62">
        <v>1</v>
      </c>
      <c r="J62" t="s">
        <v>26</v>
      </c>
      <c r="K62" t="s">
        <v>17</v>
      </c>
      <c r="L62">
        <v>45</v>
      </c>
      <c r="M62" t="str">
        <v>Adult</v>
      </c>
      <c r="N62" t="s">
        <v>18</v>
      </c>
    </row>
    <row r="63" spans="1:14" x14ac:dyDescent="0.3">
      <c r="A63">
        <v>19291</v>
      </c>
      <c r="B63" t="s">
        <v>37</v>
      </c>
      <c r="C63" t="s">
        <v>39</v>
      </c>
      <c r="D63" s="3">
        <v>10000</v>
      </c>
      <c r="E63">
        <v>2</v>
      </c>
      <c r="F63" t="s">
        <v>27</v>
      </c>
      <c r="G63" t="s">
        <v>25</v>
      </c>
      <c r="H63" t="s">
        <v>15</v>
      </c>
      <c r="I63">
        <v>0</v>
      </c>
      <c r="J63" t="s">
        <v>16</v>
      </c>
      <c r="K63" t="s">
        <v>17</v>
      </c>
      <c r="L63">
        <v>35</v>
      </c>
      <c r="M63" t="str">
        <v>Adult</v>
      </c>
      <c r="N63" t="s">
        <v>18</v>
      </c>
    </row>
    <row r="64" spans="1:14" x14ac:dyDescent="0.3">
      <c r="A64">
        <v>16713</v>
      </c>
      <c r="B64" t="s">
        <v>36</v>
      </c>
      <c r="C64" t="s">
        <v>38</v>
      </c>
      <c r="D64" s="3">
        <v>40000</v>
      </c>
      <c r="E64">
        <v>2</v>
      </c>
      <c r="F64" t="s">
        <v>13</v>
      </c>
      <c r="G64" t="s">
        <v>28</v>
      </c>
      <c r="H64" t="s">
        <v>15</v>
      </c>
      <c r="I64">
        <v>1</v>
      </c>
      <c r="J64" t="s">
        <v>16</v>
      </c>
      <c r="K64" t="s">
        <v>24</v>
      </c>
      <c r="L64">
        <v>52</v>
      </c>
      <c r="M64" t="str">
        <v>Middle Age</v>
      </c>
      <c r="N64" t="s">
        <v>15</v>
      </c>
    </row>
    <row r="65" spans="1:14" x14ac:dyDescent="0.3">
      <c r="A65">
        <v>16185</v>
      </c>
      <c r="B65" t="s">
        <v>37</v>
      </c>
      <c r="C65" t="s">
        <v>38</v>
      </c>
      <c r="D65" s="3">
        <v>60000</v>
      </c>
      <c r="E65">
        <v>4</v>
      </c>
      <c r="F65" t="s">
        <v>13</v>
      </c>
      <c r="G65" t="s">
        <v>21</v>
      </c>
      <c r="H65" t="s">
        <v>15</v>
      </c>
      <c r="I65">
        <v>3</v>
      </c>
      <c r="J65" t="s">
        <v>46</v>
      </c>
      <c r="K65" t="s">
        <v>24</v>
      </c>
      <c r="L65">
        <v>41</v>
      </c>
      <c r="M65" t="str">
        <v>Adult</v>
      </c>
      <c r="N65" t="s">
        <v>18</v>
      </c>
    </row>
    <row r="66" spans="1:14" x14ac:dyDescent="0.3">
      <c r="A66">
        <v>14927</v>
      </c>
      <c r="B66" t="s">
        <v>36</v>
      </c>
      <c r="C66" t="s">
        <v>39</v>
      </c>
      <c r="D66" s="3">
        <v>30000</v>
      </c>
      <c r="E66">
        <v>1</v>
      </c>
      <c r="F66" t="s">
        <v>13</v>
      </c>
      <c r="G66" t="s">
        <v>20</v>
      </c>
      <c r="H66" t="s">
        <v>15</v>
      </c>
      <c r="I66">
        <v>0</v>
      </c>
      <c r="J66" t="s">
        <v>16</v>
      </c>
      <c r="K66" t="s">
        <v>17</v>
      </c>
      <c r="L66">
        <v>37</v>
      </c>
      <c r="M66" t="str">
        <v>Adult</v>
      </c>
      <c r="N66" t="s">
        <v>15</v>
      </c>
    </row>
    <row r="67" spans="1:14" x14ac:dyDescent="0.3">
      <c r="A67">
        <v>29337</v>
      </c>
      <c r="B67" t="s">
        <v>37</v>
      </c>
      <c r="C67" t="s">
        <v>38</v>
      </c>
      <c r="D67" s="3">
        <v>30000</v>
      </c>
      <c r="E67">
        <v>2</v>
      </c>
      <c r="F67" t="s">
        <v>19</v>
      </c>
      <c r="G67" t="s">
        <v>20</v>
      </c>
      <c r="H67" t="s">
        <v>15</v>
      </c>
      <c r="I67">
        <v>2</v>
      </c>
      <c r="J67" t="s">
        <v>23</v>
      </c>
      <c r="K67" t="s">
        <v>24</v>
      </c>
      <c r="L67">
        <v>68</v>
      </c>
      <c r="M67" t="str">
        <v>Senior</v>
      </c>
      <c r="N67" t="s">
        <v>18</v>
      </c>
    </row>
    <row r="68" spans="1:14" x14ac:dyDescent="0.3">
      <c r="A68">
        <v>29355</v>
      </c>
      <c r="B68" t="s">
        <v>36</v>
      </c>
      <c r="C68" t="s">
        <v>39</v>
      </c>
      <c r="D68" s="3">
        <v>40000</v>
      </c>
      <c r="E68">
        <v>0</v>
      </c>
      <c r="F68" t="s">
        <v>31</v>
      </c>
      <c r="G68" t="s">
        <v>20</v>
      </c>
      <c r="H68" t="s">
        <v>15</v>
      </c>
      <c r="I68">
        <v>0</v>
      </c>
      <c r="J68" t="s">
        <v>16</v>
      </c>
      <c r="K68" t="s">
        <v>17</v>
      </c>
      <c r="L68">
        <v>37</v>
      </c>
      <c r="M68" t="str">
        <v>Adult</v>
      </c>
      <c r="N68" t="s">
        <v>15</v>
      </c>
    </row>
    <row r="69" spans="1:14" x14ac:dyDescent="0.3">
      <c r="A69">
        <v>25303</v>
      </c>
      <c r="B69" t="s">
        <v>37</v>
      </c>
      <c r="C69" t="s">
        <v>38</v>
      </c>
      <c r="D69" s="3">
        <v>30000</v>
      </c>
      <c r="E69">
        <v>0</v>
      </c>
      <c r="F69" t="s">
        <v>27</v>
      </c>
      <c r="G69" t="s">
        <v>25</v>
      </c>
      <c r="H69" t="s">
        <v>15</v>
      </c>
      <c r="I69">
        <v>1</v>
      </c>
      <c r="J69" t="s">
        <v>22</v>
      </c>
      <c r="K69" t="s">
        <v>17</v>
      </c>
      <c r="L69">
        <v>33</v>
      </c>
      <c r="M69" t="str">
        <v>Adult</v>
      </c>
      <c r="N69" t="s">
        <v>15</v>
      </c>
    </row>
    <row r="70" spans="1:14" x14ac:dyDescent="0.3">
      <c r="A70">
        <v>14813</v>
      </c>
      <c r="B70" t="s">
        <v>37</v>
      </c>
      <c r="C70" t="s">
        <v>39</v>
      </c>
      <c r="D70" s="3">
        <v>20000</v>
      </c>
      <c r="E70">
        <v>4</v>
      </c>
      <c r="F70" t="s">
        <v>27</v>
      </c>
      <c r="G70" t="s">
        <v>25</v>
      </c>
      <c r="H70" t="s">
        <v>15</v>
      </c>
      <c r="I70">
        <v>1</v>
      </c>
      <c r="J70" t="s">
        <v>16</v>
      </c>
      <c r="K70" t="s">
        <v>17</v>
      </c>
      <c r="L70">
        <v>43</v>
      </c>
      <c r="M70" t="str">
        <v>Adult</v>
      </c>
      <c r="N70" t="s">
        <v>15</v>
      </c>
    </row>
    <row r="71" spans="1:14" x14ac:dyDescent="0.3">
      <c r="A71">
        <v>16438</v>
      </c>
      <c r="B71" t="s">
        <v>36</v>
      </c>
      <c r="C71" t="s">
        <v>39</v>
      </c>
      <c r="D71" s="3">
        <v>10000</v>
      </c>
      <c r="E71">
        <v>0</v>
      </c>
      <c r="F71" t="s">
        <v>29</v>
      </c>
      <c r="G71" t="s">
        <v>25</v>
      </c>
      <c r="H71" t="s">
        <v>18</v>
      </c>
      <c r="I71">
        <v>2</v>
      </c>
      <c r="J71" t="s">
        <v>16</v>
      </c>
      <c r="K71" t="s">
        <v>17</v>
      </c>
      <c r="L71">
        <v>30</v>
      </c>
      <c r="M71" t="str">
        <v>Young Adult</v>
      </c>
      <c r="N71" t="s">
        <v>18</v>
      </c>
    </row>
    <row r="72" spans="1:14" x14ac:dyDescent="0.3">
      <c r="A72">
        <v>14238</v>
      </c>
      <c r="B72" t="s">
        <v>36</v>
      </c>
      <c r="C72" t="s">
        <v>38</v>
      </c>
      <c r="D72" s="3">
        <v>120000</v>
      </c>
      <c r="E72">
        <v>0</v>
      </c>
      <c r="F72" t="s">
        <v>29</v>
      </c>
      <c r="G72" t="s">
        <v>21</v>
      </c>
      <c r="H72" t="s">
        <v>15</v>
      </c>
      <c r="I72">
        <v>4</v>
      </c>
      <c r="J72" t="s">
        <v>46</v>
      </c>
      <c r="K72" t="s">
        <v>24</v>
      </c>
      <c r="L72">
        <v>36</v>
      </c>
      <c r="M72" t="str">
        <v>Adult</v>
      </c>
      <c r="N72" t="s">
        <v>15</v>
      </c>
    </row>
    <row r="73" spans="1:14" x14ac:dyDescent="0.3">
      <c r="A73">
        <v>16200</v>
      </c>
      <c r="B73" t="s">
        <v>37</v>
      </c>
      <c r="C73" t="s">
        <v>39</v>
      </c>
      <c r="D73" s="3">
        <v>10000</v>
      </c>
      <c r="E73">
        <v>0</v>
      </c>
      <c r="F73" t="s">
        <v>29</v>
      </c>
      <c r="G73" t="s">
        <v>25</v>
      </c>
      <c r="H73" t="s">
        <v>18</v>
      </c>
      <c r="I73">
        <v>2</v>
      </c>
      <c r="J73" t="s">
        <v>16</v>
      </c>
      <c r="K73" t="s">
        <v>17</v>
      </c>
      <c r="L73">
        <v>35</v>
      </c>
      <c r="M73" t="str">
        <v>Adult</v>
      </c>
      <c r="N73" t="s">
        <v>18</v>
      </c>
    </row>
    <row r="74" spans="1:14" x14ac:dyDescent="0.3">
      <c r="A74">
        <v>24857</v>
      </c>
      <c r="B74" t="s">
        <v>36</v>
      </c>
      <c r="C74" t="s">
        <v>39</v>
      </c>
      <c r="D74" s="3">
        <v>130000</v>
      </c>
      <c r="E74">
        <v>3</v>
      </c>
      <c r="F74" t="s">
        <v>27</v>
      </c>
      <c r="G74" t="s">
        <v>21</v>
      </c>
      <c r="H74" t="s">
        <v>15</v>
      </c>
      <c r="I74">
        <v>4</v>
      </c>
      <c r="J74" t="s">
        <v>16</v>
      </c>
      <c r="K74" t="s">
        <v>17</v>
      </c>
      <c r="L74">
        <v>52</v>
      </c>
      <c r="M74" t="str">
        <v>Middle Age</v>
      </c>
      <c r="N74" t="s">
        <v>18</v>
      </c>
    </row>
    <row r="75" spans="1:14" x14ac:dyDescent="0.3">
      <c r="A75">
        <v>26956</v>
      </c>
      <c r="B75" t="s">
        <v>37</v>
      </c>
      <c r="C75" t="s">
        <v>39</v>
      </c>
      <c r="D75" s="3">
        <v>20000</v>
      </c>
      <c r="E75">
        <v>0</v>
      </c>
      <c r="F75" t="s">
        <v>19</v>
      </c>
      <c r="G75" t="s">
        <v>25</v>
      </c>
      <c r="H75" t="s">
        <v>18</v>
      </c>
      <c r="I75">
        <v>1</v>
      </c>
      <c r="J75" t="s">
        <v>22</v>
      </c>
      <c r="K75" t="s">
        <v>17</v>
      </c>
      <c r="L75">
        <v>36</v>
      </c>
      <c r="M75" t="str">
        <v>Adult</v>
      </c>
      <c r="N75" t="s">
        <v>15</v>
      </c>
    </row>
    <row r="76" spans="1:14" x14ac:dyDescent="0.3">
      <c r="A76">
        <v>14517</v>
      </c>
      <c r="B76" t="s">
        <v>36</v>
      </c>
      <c r="C76" t="s">
        <v>39</v>
      </c>
      <c r="D76" s="3">
        <v>20000</v>
      </c>
      <c r="E76">
        <v>3</v>
      </c>
      <c r="F76" t="s">
        <v>27</v>
      </c>
      <c r="G76" t="s">
        <v>14</v>
      </c>
      <c r="H76" t="s">
        <v>18</v>
      </c>
      <c r="I76">
        <v>2</v>
      </c>
      <c r="J76" t="s">
        <v>26</v>
      </c>
      <c r="K76" t="s">
        <v>24</v>
      </c>
      <c r="L76">
        <v>62</v>
      </c>
      <c r="M76" t="str">
        <v>Senior</v>
      </c>
      <c r="N76" t="s">
        <v>18</v>
      </c>
    </row>
    <row r="77" spans="1:14" x14ac:dyDescent="0.3">
      <c r="A77">
        <v>12678</v>
      </c>
      <c r="B77" t="s">
        <v>37</v>
      </c>
      <c r="C77" t="s">
        <v>39</v>
      </c>
      <c r="D77" s="3">
        <v>130000</v>
      </c>
      <c r="E77">
        <v>4</v>
      </c>
      <c r="F77" t="s">
        <v>27</v>
      </c>
      <c r="G77" t="s">
        <v>28</v>
      </c>
      <c r="H77" t="s">
        <v>15</v>
      </c>
      <c r="I77">
        <v>4</v>
      </c>
      <c r="J77" t="s">
        <v>16</v>
      </c>
      <c r="K77" t="s">
        <v>24</v>
      </c>
      <c r="L77">
        <v>31</v>
      </c>
      <c r="M77" t="str">
        <v>Adult</v>
      </c>
      <c r="N77" t="s">
        <v>18</v>
      </c>
    </row>
    <row r="78" spans="1:14" x14ac:dyDescent="0.3">
      <c r="A78">
        <v>16188</v>
      </c>
      <c r="B78" t="s">
        <v>37</v>
      </c>
      <c r="C78" t="s">
        <v>39</v>
      </c>
      <c r="D78" s="3">
        <v>20000</v>
      </c>
      <c r="E78">
        <v>0</v>
      </c>
      <c r="F78" t="s">
        <v>29</v>
      </c>
      <c r="G78" t="s">
        <v>25</v>
      </c>
      <c r="H78" t="s">
        <v>18</v>
      </c>
      <c r="I78">
        <v>2</v>
      </c>
      <c r="J78" t="s">
        <v>26</v>
      </c>
      <c r="K78" t="s">
        <v>17</v>
      </c>
      <c r="L78">
        <v>26</v>
      </c>
      <c r="M78" t="str">
        <v>Young Adult</v>
      </c>
      <c r="N78" t="s">
        <v>18</v>
      </c>
    </row>
    <row r="79" spans="1:14" x14ac:dyDescent="0.3">
      <c r="A79">
        <v>27969</v>
      </c>
      <c r="B79" t="s">
        <v>36</v>
      </c>
      <c r="C79" t="s">
        <v>38</v>
      </c>
      <c r="D79" s="3">
        <v>80000</v>
      </c>
      <c r="E79">
        <v>0</v>
      </c>
      <c r="F79" t="s">
        <v>13</v>
      </c>
      <c r="G79" t="s">
        <v>21</v>
      </c>
      <c r="H79" t="s">
        <v>15</v>
      </c>
      <c r="I79">
        <v>2</v>
      </c>
      <c r="J79" t="s">
        <v>46</v>
      </c>
      <c r="K79" t="s">
        <v>24</v>
      </c>
      <c r="L79">
        <v>29</v>
      </c>
      <c r="M79" t="str">
        <v>Young Adult</v>
      </c>
      <c r="N79" t="s">
        <v>15</v>
      </c>
    </row>
    <row r="80" spans="1:14" x14ac:dyDescent="0.3">
      <c r="A80">
        <v>15752</v>
      </c>
      <c r="B80" t="s">
        <v>36</v>
      </c>
      <c r="C80" t="s">
        <v>38</v>
      </c>
      <c r="D80" s="3">
        <v>80000</v>
      </c>
      <c r="E80">
        <v>2</v>
      </c>
      <c r="F80" t="s">
        <v>27</v>
      </c>
      <c r="G80" t="s">
        <v>14</v>
      </c>
      <c r="H80" t="s">
        <v>18</v>
      </c>
      <c r="I80">
        <v>2</v>
      </c>
      <c r="J80" t="s">
        <v>26</v>
      </c>
      <c r="K80" t="s">
        <v>24</v>
      </c>
      <c r="L80">
        <v>50</v>
      </c>
      <c r="M80" t="str">
        <v>Middle Age</v>
      </c>
      <c r="N80" t="s">
        <v>15</v>
      </c>
    </row>
    <row r="81" spans="1:14" x14ac:dyDescent="0.3">
      <c r="A81">
        <v>27745</v>
      </c>
      <c r="B81" t="s">
        <v>37</v>
      </c>
      <c r="C81" t="s">
        <v>38</v>
      </c>
      <c r="D81" s="3">
        <v>40000</v>
      </c>
      <c r="E81">
        <v>2</v>
      </c>
      <c r="F81" t="s">
        <v>13</v>
      </c>
      <c r="G81" t="s">
        <v>28</v>
      </c>
      <c r="H81" t="s">
        <v>15</v>
      </c>
      <c r="I81">
        <v>2</v>
      </c>
      <c r="J81" t="s">
        <v>23</v>
      </c>
      <c r="K81" t="s">
        <v>24</v>
      </c>
      <c r="L81">
        <v>63</v>
      </c>
      <c r="M81" t="str">
        <v>Senior</v>
      </c>
      <c r="N81" t="s">
        <v>15</v>
      </c>
    </row>
    <row r="82" spans="1:14" x14ac:dyDescent="0.3">
      <c r="A82">
        <v>20828</v>
      </c>
      <c r="B82" t="s">
        <v>36</v>
      </c>
      <c r="C82" t="s">
        <v>39</v>
      </c>
      <c r="D82" s="3">
        <v>30000</v>
      </c>
      <c r="E82">
        <v>4</v>
      </c>
      <c r="F82" t="s">
        <v>31</v>
      </c>
      <c r="G82" t="s">
        <v>20</v>
      </c>
      <c r="H82" t="s">
        <v>15</v>
      </c>
      <c r="I82">
        <v>0</v>
      </c>
      <c r="J82" t="s">
        <v>16</v>
      </c>
      <c r="K82" t="s">
        <v>17</v>
      </c>
      <c r="L82">
        <v>45</v>
      </c>
      <c r="M82" t="str">
        <v>Adult</v>
      </c>
      <c r="N82" t="s">
        <v>15</v>
      </c>
    </row>
    <row r="83" spans="1:14" x14ac:dyDescent="0.3">
      <c r="A83">
        <v>19461</v>
      </c>
      <c r="B83" t="s">
        <v>37</v>
      </c>
      <c r="C83" t="s">
        <v>39</v>
      </c>
      <c r="D83" s="3">
        <v>10000</v>
      </c>
      <c r="E83">
        <v>4</v>
      </c>
      <c r="F83" t="s">
        <v>29</v>
      </c>
      <c r="G83" t="s">
        <v>25</v>
      </c>
      <c r="H83" t="s">
        <v>15</v>
      </c>
      <c r="I83">
        <v>2</v>
      </c>
      <c r="J83" t="s">
        <v>16</v>
      </c>
      <c r="K83" t="s">
        <v>17</v>
      </c>
      <c r="L83">
        <v>40</v>
      </c>
      <c r="M83" t="str">
        <v>Adult</v>
      </c>
      <c r="N83" t="s">
        <v>18</v>
      </c>
    </row>
    <row r="84" spans="1:14" x14ac:dyDescent="0.3">
      <c r="A84">
        <v>26941</v>
      </c>
      <c r="B84" t="s">
        <v>36</v>
      </c>
      <c r="C84" t="s">
        <v>38</v>
      </c>
      <c r="D84" s="3">
        <v>30000</v>
      </c>
      <c r="E84">
        <v>0</v>
      </c>
      <c r="F84" t="s">
        <v>13</v>
      </c>
      <c r="G84" t="s">
        <v>20</v>
      </c>
      <c r="H84" t="s">
        <v>15</v>
      </c>
      <c r="I84">
        <v>0</v>
      </c>
      <c r="J84" t="s">
        <v>16</v>
      </c>
      <c r="K84" t="s">
        <v>17</v>
      </c>
      <c r="L84">
        <v>47</v>
      </c>
      <c r="M84" t="str">
        <v>Middle Age</v>
      </c>
      <c r="N84" t="s">
        <v>15</v>
      </c>
    </row>
    <row r="85" spans="1:14" x14ac:dyDescent="0.3">
      <c r="A85">
        <v>28412</v>
      </c>
      <c r="B85" t="s">
        <v>37</v>
      </c>
      <c r="C85" t="s">
        <v>38</v>
      </c>
      <c r="D85" s="3">
        <v>20000</v>
      </c>
      <c r="E85">
        <v>0</v>
      </c>
      <c r="F85" t="s">
        <v>27</v>
      </c>
      <c r="G85" t="s">
        <v>25</v>
      </c>
      <c r="H85" t="s">
        <v>18</v>
      </c>
      <c r="I85">
        <v>1</v>
      </c>
      <c r="J85" t="s">
        <v>22</v>
      </c>
      <c r="K85" t="s">
        <v>17</v>
      </c>
      <c r="L85">
        <v>29</v>
      </c>
      <c r="M85" t="str">
        <v>Young Adult</v>
      </c>
      <c r="N85" t="s">
        <v>18</v>
      </c>
    </row>
    <row r="86" spans="1:14" x14ac:dyDescent="0.3">
      <c r="A86">
        <v>24485</v>
      </c>
      <c r="B86" t="s">
        <v>37</v>
      </c>
      <c r="C86" t="s">
        <v>38</v>
      </c>
      <c r="D86" s="3">
        <v>40000</v>
      </c>
      <c r="E86">
        <v>2</v>
      </c>
      <c r="F86" t="s">
        <v>13</v>
      </c>
      <c r="G86" t="s">
        <v>28</v>
      </c>
      <c r="H86" t="s">
        <v>18</v>
      </c>
      <c r="I86">
        <v>1</v>
      </c>
      <c r="J86" t="s">
        <v>23</v>
      </c>
      <c r="K86" t="s">
        <v>24</v>
      </c>
      <c r="L86">
        <v>52</v>
      </c>
      <c r="M86" t="str">
        <v>Middle Age</v>
      </c>
      <c r="N86" t="s">
        <v>15</v>
      </c>
    </row>
    <row r="87" spans="1:14" x14ac:dyDescent="0.3">
      <c r="A87">
        <v>16514</v>
      </c>
      <c r="B87" t="s">
        <v>37</v>
      </c>
      <c r="C87" t="s">
        <v>38</v>
      </c>
      <c r="D87" s="3">
        <v>10000</v>
      </c>
      <c r="E87">
        <v>0</v>
      </c>
      <c r="F87" t="s">
        <v>19</v>
      </c>
      <c r="G87" t="s">
        <v>25</v>
      </c>
      <c r="H87" t="s">
        <v>15</v>
      </c>
      <c r="I87">
        <v>1</v>
      </c>
      <c r="J87" t="s">
        <v>26</v>
      </c>
      <c r="K87" t="s">
        <v>24</v>
      </c>
      <c r="L87">
        <v>26</v>
      </c>
      <c r="M87" t="str">
        <v>Young Adult</v>
      </c>
      <c r="N87" t="s">
        <v>15</v>
      </c>
    </row>
    <row r="88" spans="1:14" x14ac:dyDescent="0.3">
      <c r="A88">
        <v>17191</v>
      </c>
      <c r="B88" t="s">
        <v>37</v>
      </c>
      <c r="C88" t="s">
        <v>38</v>
      </c>
      <c r="D88" s="3">
        <v>130000</v>
      </c>
      <c r="E88">
        <v>3</v>
      </c>
      <c r="F88" t="s">
        <v>19</v>
      </c>
      <c r="G88" t="s">
        <v>21</v>
      </c>
      <c r="H88" t="s">
        <v>18</v>
      </c>
      <c r="I88">
        <v>3</v>
      </c>
      <c r="J88" t="s">
        <v>16</v>
      </c>
      <c r="K88" t="s">
        <v>17</v>
      </c>
      <c r="L88">
        <v>51</v>
      </c>
      <c r="M88" t="str">
        <v>Middle Age</v>
      </c>
      <c r="N88" t="s">
        <v>15</v>
      </c>
    </row>
    <row r="89" spans="1:14" x14ac:dyDescent="0.3">
      <c r="A89">
        <v>19608</v>
      </c>
      <c r="B89" t="s">
        <v>36</v>
      </c>
      <c r="C89" t="s">
        <v>38</v>
      </c>
      <c r="D89" s="3">
        <v>80000</v>
      </c>
      <c r="E89">
        <v>5</v>
      </c>
      <c r="F89" t="s">
        <v>13</v>
      </c>
      <c r="G89" t="s">
        <v>21</v>
      </c>
      <c r="H89" t="s">
        <v>15</v>
      </c>
      <c r="I89">
        <v>4</v>
      </c>
      <c r="J89" t="s">
        <v>26</v>
      </c>
      <c r="K89" t="s">
        <v>24</v>
      </c>
      <c r="L89">
        <v>40</v>
      </c>
      <c r="M89" t="str">
        <v>Adult</v>
      </c>
      <c r="N89" t="s">
        <v>18</v>
      </c>
    </row>
    <row r="90" spans="1:14" x14ac:dyDescent="0.3">
      <c r="A90">
        <v>24119</v>
      </c>
      <c r="B90" t="s">
        <v>37</v>
      </c>
      <c r="C90" t="s">
        <v>38</v>
      </c>
      <c r="D90" s="3">
        <v>30000</v>
      </c>
      <c r="E90">
        <v>0</v>
      </c>
      <c r="F90" t="s">
        <v>19</v>
      </c>
      <c r="G90" t="s">
        <v>20</v>
      </c>
      <c r="H90" t="s">
        <v>18</v>
      </c>
      <c r="I90">
        <v>1</v>
      </c>
      <c r="J90" t="s">
        <v>22</v>
      </c>
      <c r="K90" t="s">
        <v>17</v>
      </c>
      <c r="L90">
        <v>29</v>
      </c>
      <c r="M90" t="str">
        <v>Young Adult</v>
      </c>
      <c r="N90" t="s">
        <v>18</v>
      </c>
    </row>
    <row r="91" spans="1:14" x14ac:dyDescent="0.3">
      <c r="A91">
        <v>25458</v>
      </c>
      <c r="B91" t="s">
        <v>36</v>
      </c>
      <c r="C91" t="s">
        <v>38</v>
      </c>
      <c r="D91" s="3">
        <v>20000</v>
      </c>
      <c r="E91">
        <v>1</v>
      </c>
      <c r="F91" t="s">
        <v>27</v>
      </c>
      <c r="G91" t="s">
        <v>25</v>
      </c>
      <c r="H91" t="s">
        <v>18</v>
      </c>
      <c r="I91">
        <v>1</v>
      </c>
      <c r="J91" t="s">
        <v>26</v>
      </c>
      <c r="K91" t="s">
        <v>17</v>
      </c>
      <c r="L91">
        <v>40</v>
      </c>
      <c r="M91" t="str">
        <v>Adult</v>
      </c>
      <c r="N91" t="s">
        <v>15</v>
      </c>
    </row>
    <row r="92" spans="1:14" x14ac:dyDescent="0.3">
      <c r="A92">
        <v>26886</v>
      </c>
      <c r="B92" t="s">
        <v>37</v>
      </c>
      <c r="C92" t="s">
        <v>39</v>
      </c>
      <c r="D92" s="3">
        <v>30000</v>
      </c>
      <c r="E92">
        <v>0</v>
      </c>
      <c r="F92" t="s">
        <v>19</v>
      </c>
      <c r="G92" t="s">
        <v>20</v>
      </c>
      <c r="H92" t="s">
        <v>18</v>
      </c>
      <c r="I92">
        <v>1</v>
      </c>
      <c r="J92" t="s">
        <v>16</v>
      </c>
      <c r="K92" t="s">
        <v>17</v>
      </c>
      <c r="L92">
        <v>29</v>
      </c>
      <c r="M92" t="str">
        <v>Young Adult</v>
      </c>
      <c r="N92" t="s">
        <v>15</v>
      </c>
    </row>
    <row r="93" spans="1:14" x14ac:dyDescent="0.3">
      <c r="A93">
        <v>28436</v>
      </c>
      <c r="B93" t="s">
        <v>37</v>
      </c>
      <c r="C93" t="s">
        <v>38</v>
      </c>
      <c r="D93" s="3">
        <v>30000</v>
      </c>
      <c r="E93">
        <v>0</v>
      </c>
      <c r="F93" t="s">
        <v>19</v>
      </c>
      <c r="G93" t="s">
        <v>20</v>
      </c>
      <c r="H93" t="s">
        <v>18</v>
      </c>
      <c r="I93">
        <v>1</v>
      </c>
      <c r="J93" t="s">
        <v>16</v>
      </c>
      <c r="K93" t="s">
        <v>17</v>
      </c>
      <c r="L93">
        <v>30</v>
      </c>
      <c r="M93" t="str">
        <v>Young Adult</v>
      </c>
      <c r="N93" t="s">
        <v>15</v>
      </c>
    </row>
    <row r="94" spans="1:14" x14ac:dyDescent="0.3">
      <c r="A94">
        <v>19562</v>
      </c>
      <c r="B94" t="s">
        <v>37</v>
      </c>
      <c r="C94" t="s">
        <v>39</v>
      </c>
      <c r="D94" s="3">
        <v>60000</v>
      </c>
      <c r="E94">
        <v>2</v>
      </c>
      <c r="F94" t="s">
        <v>13</v>
      </c>
      <c r="G94" t="s">
        <v>21</v>
      </c>
      <c r="H94" t="s">
        <v>15</v>
      </c>
      <c r="I94">
        <v>1</v>
      </c>
      <c r="J94" t="s">
        <v>22</v>
      </c>
      <c r="K94" t="s">
        <v>24</v>
      </c>
      <c r="L94">
        <v>37</v>
      </c>
      <c r="M94" t="str">
        <v>Adult</v>
      </c>
      <c r="N94" t="s">
        <v>15</v>
      </c>
    </row>
    <row r="95" spans="1:14" x14ac:dyDescent="0.3">
      <c r="A95">
        <v>15608</v>
      </c>
      <c r="B95" t="s">
        <v>37</v>
      </c>
      <c r="C95" t="s">
        <v>39</v>
      </c>
      <c r="D95" s="3">
        <v>30000</v>
      </c>
      <c r="E95">
        <v>0</v>
      </c>
      <c r="F95" t="s">
        <v>19</v>
      </c>
      <c r="G95" t="s">
        <v>20</v>
      </c>
      <c r="H95" t="s">
        <v>18</v>
      </c>
      <c r="I95">
        <v>1</v>
      </c>
      <c r="J95" t="s">
        <v>22</v>
      </c>
      <c r="K95" t="s">
        <v>17</v>
      </c>
      <c r="L95">
        <v>33</v>
      </c>
      <c r="M95" t="str">
        <v>Adult</v>
      </c>
      <c r="N95" t="s">
        <v>18</v>
      </c>
    </row>
    <row r="96" spans="1:14" x14ac:dyDescent="0.3">
      <c r="A96">
        <v>16487</v>
      </c>
      <c r="B96" t="s">
        <v>37</v>
      </c>
      <c r="C96" t="s">
        <v>39</v>
      </c>
      <c r="D96" s="3">
        <v>30000</v>
      </c>
      <c r="E96">
        <v>3</v>
      </c>
      <c r="F96" t="s">
        <v>27</v>
      </c>
      <c r="G96" t="s">
        <v>14</v>
      </c>
      <c r="H96" t="s">
        <v>15</v>
      </c>
      <c r="I96">
        <v>2</v>
      </c>
      <c r="J96" t="s">
        <v>23</v>
      </c>
      <c r="K96" t="s">
        <v>24</v>
      </c>
      <c r="L96">
        <v>55</v>
      </c>
      <c r="M96" t="str">
        <v>Middle Age</v>
      </c>
      <c r="N96" t="s">
        <v>18</v>
      </c>
    </row>
    <row r="97" spans="1:14" x14ac:dyDescent="0.3">
      <c r="A97">
        <v>17197</v>
      </c>
      <c r="B97" t="s">
        <v>37</v>
      </c>
      <c r="C97" t="s">
        <v>39</v>
      </c>
      <c r="D97" s="3">
        <v>90000</v>
      </c>
      <c r="E97">
        <v>5</v>
      </c>
      <c r="F97" t="s">
        <v>19</v>
      </c>
      <c r="G97" t="s">
        <v>21</v>
      </c>
      <c r="H97" t="s">
        <v>15</v>
      </c>
      <c r="I97">
        <v>2</v>
      </c>
      <c r="J97" t="s">
        <v>46</v>
      </c>
      <c r="K97" t="s">
        <v>17</v>
      </c>
      <c r="L97">
        <v>62</v>
      </c>
      <c r="M97" t="str">
        <v>Senior</v>
      </c>
      <c r="N97" t="s">
        <v>18</v>
      </c>
    </row>
    <row r="98" spans="1:14" x14ac:dyDescent="0.3">
      <c r="A98">
        <v>12507</v>
      </c>
      <c r="B98" t="s">
        <v>36</v>
      </c>
      <c r="C98" t="s">
        <v>38</v>
      </c>
      <c r="D98" s="3">
        <v>30000</v>
      </c>
      <c r="E98">
        <v>1</v>
      </c>
      <c r="F98" t="s">
        <v>19</v>
      </c>
      <c r="G98" t="s">
        <v>20</v>
      </c>
      <c r="H98" t="s">
        <v>15</v>
      </c>
      <c r="I98">
        <v>1</v>
      </c>
      <c r="J98" t="s">
        <v>16</v>
      </c>
      <c r="K98" t="s">
        <v>17</v>
      </c>
      <c r="L98">
        <v>43</v>
      </c>
      <c r="M98" t="str">
        <v>Adult</v>
      </c>
      <c r="N98" t="s">
        <v>18</v>
      </c>
    </row>
    <row r="99" spans="1:14" x14ac:dyDescent="0.3">
      <c r="A99">
        <v>23940</v>
      </c>
      <c r="B99" t="s">
        <v>36</v>
      </c>
      <c r="C99" t="s">
        <v>38</v>
      </c>
      <c r="D99" s="3">
        <v>40000</v>
      </c>
      <c r="E99">
        <v>1</v>
      </c>
      <c r="F99" t="s">
        <v>13</v>
      </c>
      <c r="G99" t="s">
        <v>14</v>
      </c>
      <c r="H99" t="s">
        <v>15</v>
      </c>
      <c r="I99">
        <v>1</v>
      </c>
      <c r="J99" t="s">
        <v>16</v>
      </c>
      <c r="K99" t="s">
        <v>17</v>
      </c>
      <c r="L99">
        <v>44</v>
      </c>
      <c r="M99" t="str">
        <v>Adult</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v>Young Adult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v>Adult</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v>Adult</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v>Adult</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v>Adult</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v>Young Adult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v>Adult</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v>Adult</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v>Adult</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v>Adult</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v>Adult</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v>Young Adult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v>Young Adult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v>Adult</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v>Adult</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v>Senior</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v>Young Adult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v>Senior</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v>Adult</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v>Senior</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v>Adult</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v>Adult</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v>Adult</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v>Adult</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v>Adult</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v>Adult</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v>Senior</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v>Adult</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v>Senior</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v>Adult</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v>Adult</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v>Adult</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v>Senior</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v>Adult</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v>Young Adult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v>Adult</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v>Adult</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v>Adult</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v>Adult</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v>Adult</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v>Adult</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v>Senior</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v>Young Adult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v>Adult</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v>Adult</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v>Adult</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v>Adult</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v>Senior</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v>Adult</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v>Adult</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v>Adult</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v>Young Adult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v>Young Adult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v>Adult</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v>Adult</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v>Senior</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v>Senior</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v>Adult</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v>Young Adult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v>Adult</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v>Young Adult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v>Adult</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v>Adult</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v>Adult</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v>Senior</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v>Senior</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v>Senior</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v>Senior</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v>Adult</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v>Adult</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v>Adult</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v>Senior</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v>Adult</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v>Adult</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v>Young Adult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v>Adult</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v>Senior</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v>Adult</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v>Adult</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v>Adult</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v>Young Adult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v>Adult</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v>Senior</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v>Young Adult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v>Adult</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v>Adult</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v>Adult</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v>Adult</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v>Young Adult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v>Adult</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v>Senior</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v>Young Adult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v>Young Adult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v>Adult</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v>Adult</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v>Adult</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v>Adult</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v>Senior</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v>Adult</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v>Adult</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v>Adult</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v>Adult</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v>Senior</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v>Senior</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v>Adult</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v>Adult</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v>Young Adult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v>Adult</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v>Senior</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v>Adult</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v>Young Adult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v>Adult</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v>Adult</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v>Young Adult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v>Adult</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v>Young Adult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v>Adult</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v>Senior</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v>Adult</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v>Senior</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v>Adult</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v>Senior</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v>Senior</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v>Adult</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v>Adult</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v>Senior</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v>Adult</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v>Adult</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v>Adult</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v>Adult</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v>Adult</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v>Adult</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v>Young Adult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v>Adult</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v>Adult</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v>Young Adult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v>Adult</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v>Young Adult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v>Adult</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v>Adult</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v>Adult</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v>Adult</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v>Adult</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v>Adult</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v>Adult</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v>Adult</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v>Adult</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v>Adult</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v>Adult</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v>Adult</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v>Adult</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v>Adult</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v>Adult</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v>Senior</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v>Senior</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v>Young Adult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v>Senior</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v>Adult</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v>Adult</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v>Senior</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v>Adult</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v>Senior</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v>Adult</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v>Senior</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v>Adult</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v>Senior</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v>Adult</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v>Adult</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v>Adult</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v>Adult</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v>Adult</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v>Adult</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v>Adult</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v>Young Adult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v>Adult</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v>Adult</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v>Senior</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v>Adult</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v>Young Adult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v>Adult</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v>Adult</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v>Adult</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v>Adult</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v>Senior</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v>Young Adult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v>Adult</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v>Adult</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v>Adult</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v>Adult</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v>Adult</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v>Adult</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v>Adult</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v>Young Adult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v>Young Adult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v>Adult</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v>Adult</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v>Adult</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v>Adult</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v>Adult</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v>Senior</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v>Young Adult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v>Young Adult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v>Adult</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v>Senior</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v>Adult</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v>Adult</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v>Adult</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v>Senior</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v>Adult</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v>Young Adult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v>Adult</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v>Senior</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v>Senior</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v>Senior</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v>Adult</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v>Young Adult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v>Senior</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v>Adult</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v>Young Adult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v>Adult</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v>Adult</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v>Adult</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v>Senior</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v>Adult</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v>Adult</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v>Adult</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v>Adult</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v>Adult</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v>Adult</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v>Adult</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v>Senior</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v>Adult</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v>Senior</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v>Adult</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v>Adult</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v>Adult</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v>Adult</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v>Adult</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v>Adult</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v>Adult</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v>Adult</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v>Senior</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v>Adult</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v>Adult</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v>Adult</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v>Senior</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v>Adult</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v>Senior</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v>Adult</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v>Adult</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v>Adult</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v>Senior</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v>Young Adult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v>Adult</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v>Adult</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v>Young Adult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v>Adult</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v>Young Adult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v>Senior</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v>Young Adult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v>Adult</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v>Adult</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v>Adult</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v>Adult</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v>Adult</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v>Adult</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v>Adult</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v>Adult</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v>Adult</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v>Adult</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v>Adult</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v>Senior</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v>Adult</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v>Adult</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v>Senior</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v>Adult</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v>Adult</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v>Adult</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v>Adult</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v>Adult</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v>Senior</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v>Adult</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v>Senior</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v>Young Adult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v>Adult</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v>Adult</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v>Adult</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v>Senior</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v>Adult</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v>Adult</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v>Adult</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v>Adult</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v>Adult</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v>Senior</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v>Adult</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v>Adult</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v>Senior</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v>Adult</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v>Adult</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v>Adult</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v>Adult</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v>Senior</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v>Senior</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v>Adult</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v>Adult</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v>Adult</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v>Adult</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v>Young Adult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v>Adult</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v>Adult</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v>Adult</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v>Adult</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v>Young Adult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v>Adult</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v>Senior</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v>Adult</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v>Senior</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v>Adult</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v>Adult</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v>Senior</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v>Adult</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v>Senior</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v>Senior</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v>Senior</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v>Adult</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v>Adult</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v>Young Adult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v>Senior</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v>Young Adult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v>Young Adult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v>Adult</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v>Senior</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v>Senior</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v>Adult</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v>Adult</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v>Adult</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v>Adult</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v>Adult</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v>Young Adult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v>Adult</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v>Young Adult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v>Adult</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v>Adult</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v>Adult</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v>Senior</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v>Senior</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v>Adult</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v>Adult</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v>Adult</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v>Adult</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v>Adult</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v>Senior</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v>Adult</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v>Adult</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v>Young Adult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v>Young Adult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v>Senior</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v>Adult</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v>Senior</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v>Young Adult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v>Senior</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v>Adult</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v>Senior</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v>Adult</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v>Adult</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v>Senior</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v>Adult</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v>Senior</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v>Young Adult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v>Senior</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v>Adult</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v>Adult</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v>Adult</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v>Senior</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v>Adult</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v>Senior</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v>Adult</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v>Senior</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v>Senior</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v>Adult</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v>Senior</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v>Adult</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v>Senior</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v>Adult</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v>Adult</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v>Young Adult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v>Adult</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v>Adult</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v>Adult</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v>Adult</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v>Young Adult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v>Adult</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v>Adult</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v>Adult</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v>Young Adult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v>Adult</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v>Senior</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v>Young Adult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v>Senior</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v>Young Adult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v>Senior</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v>Adult</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v>Young Adult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v>Adult</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v>Adult</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v>Senior</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v>Adult</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v>Young Adult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v>Senior</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v>Senior</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v>Senior</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v>Senior</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v>Adult</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v>Adult</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v>Adult</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v>Adult</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v>Senior</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v>Adult</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v>Senior</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v>Adult</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v>Adult</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v>Adult</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v>Adult</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v>Adult</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v>Adult</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v>Adult</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v>Senior</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v>Adult</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v>Young Adult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v>Adult</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v>Adult</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v>Adult</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v>Senior</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v>Adult</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v>Senior</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v>Adult</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v>Young Adult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v>Adult</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v>Adult</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v>Senior</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v>Senior</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v>Adult</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v>Adult</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v>Adult</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v>Young Adult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v>Young Adult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v>Young Adult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v>Adult</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v>Adult</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v>Adult</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v>Adult</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v>Adult</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v>Adult</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v>Young Adult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v>Young Adult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v>Adult</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v>Senior</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v>Young Adult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v>Adult</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v>Adult</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v>Senior</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v>Adult</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v>Adult</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v>Senior</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v>Senior</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v>Adult</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v>Senior</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v>Senior</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v>Adult</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v>Young Adult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v>Adult</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v>Adult</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v>Adult</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v>Adult</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v>Adult</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v>Senior</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v>Adult</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v>Adult</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v>Young Adult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v>Adult</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v>Adult</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v>Adult</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v>Adult</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v>Young Adult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v>Adult</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v>Young Adult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v>Young Adult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v>Adult</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v>Senior</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v>Senior</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v>Adult</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v>Senior</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v>Senior</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v>Adult</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v>Adult</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v>Young Adult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v>Senior</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v>Adult</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v>Adult</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v>Senior</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v>Adult</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v>Adult</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v>Young Adult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v>Adult</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v>Adult</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v>Senior</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v>Adult</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v>Adult</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v>Adult</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v>Adult</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v>Senior</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v>Young Adult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v>Adult</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v>Adult</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v>Adult</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v>Adult</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v>Young Adult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v>Adult</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v>Senior</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v>Young Adult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v>Senior</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v>Senior</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v>Young Adult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v>Young Adult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v>Adult</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v>Adult</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v>Senior</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v>Young Adult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v>Young Adult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v>Young Adult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v>Adult</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v>Adult</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v>Senior</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v>Adult</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v>Senior</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v>Senior</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v>Young Adult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v>Adult</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v>Adult</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v>Young Adult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v>Young Adult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v>Adult</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v>Adult</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v>Adult</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v>Adult</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v>Adult</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v>Adult</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v>Young Adult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v>Senior</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v>Adult</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v>Adult</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v>Adult</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v>Adult</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v>Young Adult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v>Adult</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v>Adult</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v>Adult</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v>Senior</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v>Adult</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v>Senior</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v>Senior</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v>Young Adult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v>Adult</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v>Senior</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v>Senior</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v>Adult</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v>Adult</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v>Adult</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v>Adult</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v>Adult</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v>Young Adult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v>Adult</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v>Adult</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v>Adult</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v>Adult</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v>Adult</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v>Adult</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v>Senior</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v>Adult</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v>Adult</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v>Adult</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v>Young Adult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v>Senior</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v>Senior</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v>Adult</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v>Adult</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v>Senior</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v>Adult</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v>Senior</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v>Adult</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v>Adult</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v>Adult</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v>Adult</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v>Senior</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v>Adult</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v>Adult</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v>Adult</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v>Senior</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v>Adult</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v>Young Adult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v>Senior</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v>Adult</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v>Adult</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v>Adult</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v>Senior</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v>Adult</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v>Adult</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v>Adult</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v>Senior</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v>Adult</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v>Adult</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v>Senior</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v>Adult</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v>Adult</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v>Senior</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v>Adult</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v>Adult</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v>Adult</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v>Senior</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v>Adult</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v>Senior</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v>Adult</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v>Young Adult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v>Young Adult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v>Senior</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v>Adult</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v>Senior</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v>Adult</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v>Young Adult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v>Adult</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v>Adult</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v>Adult</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v>Adult</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v>Adult</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v>Senior</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v>Adult</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v>Adult</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v>Adult</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v>Adult</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v>Senior</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v>Young Adult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v>Adult</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v>Adult</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v>Young Adult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v>Adult</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v>Adult</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v>Senior</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v>Senior</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v>Senior</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v>Adult</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v>Adult</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v>Senior</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v>Young Adult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v>Adult</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v>Adult</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v>Adult</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v>Senior</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v>Senior</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v>Adult</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v>Adult</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v>Adult</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v>Adult</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v>Adult</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v>Senior</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v>Senior</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v>Senior</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v>Adult</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v>Young Adult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v>Adult</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v>Adult</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v>Middle Age</v>
      </c>
      <c r="N996" t="s">
        <v>18</v>
      </c>
    </row>
    <row r="997" spans="1:14" x14ac:dyDescent="0.3">
      <c r="A997">
        <v>23731</v>
      </c>
      <c r="B997" t="s">
        <v>36</v>
      </c>
      <c r="C997" t="s">
        <v>38</v>
      </c>
      <c r="D997" s="3">
        <v>60000</v>
      </c>
      <c r="E997">
        <v>2</v>
      </c>
      <c r="F997" t="s">
        <v>27</v>
      </c>
      <c r="G997" t="s">
        <v>21</v>
      </c>
      <c r="H997" t="s">
        <v>15</v>
      </c>
      <c r="I997">
        <v>2</v>
      </c>
      <c r="J997" t="s">
        <v>22</v>
      </c>
      <c r="K997" t="s">
        <v>32</v>
      </c>
      <c r="L997">
        <v>54</v>
      </c>
      <c r="M997" t="str">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v>Adult</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v>Adult</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v>Adult</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v>Middle Age</v>
      </c>
      <c r="N1001" t="s">
        <v>15</v>
      </c>
    </row>
  </sheetData>
  <autoFilter ref="A1:N1001" xr:uid="{56898DD8-0D5A-4A80-9C25-AB4AA0192E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CF80-CA7A-483B-AFEE-A62C3254B3CA}">
  <dimension ref="A3:D45"/>
  <sheetViews>
    <sheetView topLeftCell="A4" zoomScale="74" workbookViewId="0">
      <selection activeCell="C43" sqref="C43"/>
    </sheetView>
  </sheetViews>
  <sheetFormatPr defaultRowHeight="14.4" x14ac:dyDescent="0.3"/>
  <cols>
    <col min="1" max="1" width="17.6640625" bestFit="1" customWidth="1"/>
    <col min="2" max="2" width="16.88671875" bestFit="1" customWidth="1"/>
    <col min="3" max="3" width="8.33203125" bestFit="1" customWidth="1"/>
    <col min="4" max="4" width="11.5546875" bestFit="1" customWidth="1"/>
  </cols>
  <sheetData>
    <row r="3" spans="1:4" x14ac:dyDescent="0.3">
      <c r="A3" s="4" t="s">
        <v>44</v>
      </c>
      <c r="B3" s="4" t="s">
        <v>43</v>
      </c>
    </row>
    <row r="4" spans="1:4" x14ac:dyDescent="0.3">
      <c r="A4" s="4" t="s">
        <v>41</v>
      </c>
      <c r="B4" t="s">
        <v>18</v>
      </c>
      <c r="C4" t="s">
        <v>15</v>
      </c>
      <c r="D4" t="s">
        <v>42</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42</v>
      </c>
      <c r="B7" s="3">
        <v>54874.759152215796</v>
      </c>
      <c r="C7" s="3">
        <v>57962.577962577961</v>
      </c>
      <c r="D7" s="3">
        <v>56360</v>
      </c>
    </row>
    <row r="20" spans="1:4" x14ac:dyDescent="0.3">
      <c r="A20" s="4" t="s">
        <v>45</v>
      </c>
      <c r="B20" s="4" t="s">
        <v>43</v>
      </c>
    </row>
    <row r="21" spans="1:4" x14ac:dyDescent="0.3">
      <c r="A21" s="4" t="s">
        <v>41</v>
      </c>
      <c r="B21" t="s">
        <v>18</v>
      </c>
      <c r="C21" t="s">
        <v>15</v>
      </c>
      <c r="D21" t="s">
        <v>42</v>
      </c>
    </row>
    <row r="22" spans="1:4" x14ac:dyDescent="0.3">
      <c r="A22" s="5" t="s">
        <v>16</v>
      </c>
      <c r="B22" s="8">
        <v>166</v>
      </c>
      <c r="C22" s="8">
        <v>200</v>
      </c>
      <c r="D22" s="8">
        <v>366</v>
      </c>
    </row>
    <row r="23" spans="1:4" x14ac:dyDescent="0.3">
      <c r="A23" s="5" t="s">
        <v>26</v>
      </c>
      <c r="B23" s="8">
        <v>92</v>
      </c>
      <c r="C23" s="8">
        <v>77</v>
      </c>
      <c r="D23" s="8">
        <v>169</v>
      </c>
    </row>
    <row r="24" spans="1:4" x14ac:dyDescent="0.3">
      <c r="A24" s="5" t="s">
        <v>22</v>
      </c>
      <c r="B24" s="8">
        <v>67</v>
      </c>
      <c r="C24" s="8">
        <v>95</v>
      </c>
      <c r="D24" s="8">
        <v>162</v>
      </c>
    </row>
    <row r="25" spans="1:4" x14ac:dyDescent="0.3">
      <c r="A25" s="5" t="s">
        <v>23</v>
      </c>
      <c r="B25" s="8">
        <v>116</v>
      </c>
      <c r="C25" s="8">
        <v>76</v>
      </c>
      <c r="D25" s="8">
        <v>192</v>
      </c>
    </row>
    <row r="26" spans="1:4" x14ac:dyDescent="0.3">
      <c r="A26" s="5" t="s">
        <v>46</v>
      </c>
      <c r="B26" s="8">
        <v>78</v>
      </c>
      <c r="C26" s="8">
        <v>33</v>
      </c>
      <c r="D26" s="8">
        <v>111</v>
      </c>
    </row>
    <row r="27" spans="1:4" x14ac:dyDescent="0.3">
      <c r="A27" s="5" t="s">
        <v>42</v>
      </c>
      <c r="B27" s="8">
        <v>519</v>
      </c>
      <c r="C27" s="8">
        <v>481</v>
      </c>
      <c r="D27" s="8">
        <v>1000</v>
      </c>
    </row>
    <row r="39" spans="1:4" x14ac:dyDescent="0.3">
      <c r="A39" s="4" t="s">
        <v>45</v>
      </c>
      <c r="B39" s="4" t="s">
        <v>43</v>
      </c>
    </row>
    <row r="40" spans="1:4" x14ac:dyDescent="0.3">
      <c r="A40" s="4" t="s">
        <v>41</v>
      </c>
      <c r="B40" t="s">
        <v>18</v>
      </c>
      <c r="C40" t="s">
        <v>15</v>
      </c>
      <c r="D40" t="s">
        <v>42</v>
      </c>
    </row>
    <row r="41" spans="1:4" x14ac:dyDescent="0.3">
      <c r="A41" s="5" t="s">
        <v>50</v>
      </c>
      <c r="B41" s="8">
        <v>71</v>
      </c>
      <c r="C41" s="8">
        <v>39</v>
      </c>
      <c r="D41" s="8">
        <v>110</v>
      </c>
    </row>
    <row r="42" spans="1:4" x14ac:dyDescent="0.3">
      <c r="A42" s="5" t="s">
        <v>47</v>
      </c>
      <c r="B42" s="8">
        <v>208</v>
      </c>
      <c r="C42" s="8">
        <v>264</v>
      </c>
      <c r="D42" s="8">
        <v>472</v>
      </c>
    </row>
    <row r="43" spans="1:4" x14ac:dyDescent="0.3">
      <c r="A43" s="5" t="s">
        <v>48</v>
      </c>
      <c r="B43" s="8">
        <v>123</v>
      </c>
      <c r="C43" s="8">
        <v>124</v>
      </c>
      <c r="D43" s="8">
        <v>247</v>
      </c>
    </row>
    <row r="44" spans="1:4" x14ac:dyDescent="0.3">
      <c r="A44" s="5" t="s">
        <v>49</v>
      </c>
      <c r="B44" s="8">
        <v>117</v>
      </c>
      <c r="C44" s="8">
        <v>54</v>
      </c>
      <c r="D44" s="8">
        <v>171</v>
      </c>
    </row>
    <row r="45" spans="1:4" x14ac:dyDescent="0.3">
      <c r="A45" s="5" t="s">
        <v>42</v>
      </c>
      <c r="B45" s="8">
        <v>519</v>
      </c>
      <c r="C45" s="8">
        <v>481</v>
      </c>
      <c r="D45"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D7B4E-6068-4010-90FE-02E66490D7FC}">
  <dimension ref="A1:J6"/>
  <sheetViews>
    <sheetView showGridLines="0" tabSelected="1" topLeftCell="A9" zoomScale="77" workbookViewId="0">
      <selection activeCell="B11" sqref="B11"/>
    </sheetView>
  </sheetViews>
  <sheetFormatPr defaultRowHeight="14.4" x14ac:dyDescent="0.3"/>
  <sheetData>
    <row r="1" spans="1:10" x14ac:dyDescent="0.3">
      <c r="A1" s="6" t="s">
        <v>51</v>
      </c>
      <c r="B1" s="7"/>
      <c r="C1" s="7"/>
      <c r="D1" s="7"/>
      <c r="E1" s="7"/>
      <c r="F1" s="7"/>
      <c r="G1" s="7"/>
      <c r="H1" s="7"/>
      <c r="I1" s="7"/>
      <c r="J1" s="7"/>
    </row>
    <row r="2" spans="1:10" x14ac:dyDescent="0.3">
      <c r="A2" s="7"/>
      <c r="B2" s="7"/>
      <c r="C2" s="7"/>
      <c r="D2" s="7"/>
      <c r="E2" s="7"/>
      <c r="F2" s="7"/>
      <c r="G2" s="7"/>
      <c r="H2" s="7"/>
      <c r="I2" s="7"/>
      <c r="J2" s="7"/>
    </row>
    <row r="3" spans="1:10" x14ac:dyDescent="0.3">
      <c r="A3" s="7"/>
      <c r="B3" s="7"/>
      <c r="C3" s="7"/>
      <c r="D3" s="7"/>
      <c r="E3" s="7"/>
      <c r="F3" s="7"/>
      <c r="G3" s="7"/>
      <c r="H3" s="7"/>
      <c r="I3" s="7"/>
      <c r="J3" s="7"/>
    </row>
    <row r="4" spans="1:10" x14ac:dyDescent="0.3">
      <c r="A4" s="7"/>
      <c r="B4" s="7"/>
      <c r="C4" s="7"/>
      <c r="D4" s="7"/>
      <c r="E4" s="7"/>
      <c r="F4" s="7"/>
      <c r="G4" s="7"/>
      <c r="H4" s="7"/>
      <c r="I4" s="7"/>
      <c r="J4" s="7"/>
    </row>
    <row r="5" spans="1:10" x14ac:dyDescent="0.3">
      <c r="A5" s="7"/>
      <c r="B5" s="7"/>
      <c r="C5" s="7"/>
      <c r="D5" s="7"/>
      <c r="E5" s="7"/>
      <c r="F5" s="7"/>
      <c r="G5" s="7"/>
      <c r="H5" s="7"/>
      <c r="I5" s="7"/>
      <c r="J5" s="7"/>
    </row>
    <row r="6" spans="1:10" x14ac:dyDescent="0.3">
      <c r="A6" s="7"/>
      <c r="B6" s="7"/>
      <c r="C6" s="7"/>
      <c r="D6" s="7"/>
      <c r="E6" s="7"/>
      <c r="F6" s="7"/>
      <c r="G6" s="7"/>
      <c r="H6" s="7"/>
      <c r="I6" s="7"/>
      <c r="J6" s="7"/>
    </row>
  </sheetData>
  <mergeCells count="1">
    <mergeCell ref="A1: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Mohula prasath B</cp:lastModifiedBy>
  <dcterms:created xsi:type="dcterms:W3CDTF">2022-03-18T02:50:57Z</dcterms:created>
  <dcterms:modified xsi:type="dcterms:W3CDTF">2026-03-11T09:20:41Z</dcterms:modified>
</cp:coreProperties>
</file>